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Controllo" sheetId="2" state="visible" r:id="rId4"/>
    <sheet name="Riepilogo" sheetId="3" state="visible" r:id="rId5"/>
    <sheet name="Confronto" sheetId="4" state="visible" r:id="rId6"/>
    <sheet name="Calcolatore" sheetId="5" state="visible" r:id="rId7"/>
    <sheet name="Province" sheetId="6" state="visible" r:id="rId8"/>
    <sheet name="Zone" sheetId="7" state="visible" r:id="rId9"/>
    <sheet name="Andamento" sheetId="8" state="visible" r:id="rId10"/>
    <sheet name="Dati_Redditi" sheetId="9" state="visible" r:id="rId11"/>
    <sheet name="Dati_Case" sheetId="10" state="visible" r:id="rId12"/>
  </sheets>
  <definedNames>
    <definedName function="false" hidden="true" localSheetId="5" name="_xlnm._FilterDatabase" vbProcedure="false">Province!$A$4:$P$111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<sst xmlns="http://schemas.openxmlformats.org/spreadsheetml/2006/main" count="6635" uniqueCount="350">
  <si>
    <t xml:space="preserve">🏙️ Il costo della vita nelle province italiane – Analisi Excel</t>
  </si>
  <si>
    <t xml:space="preserve">Progetto di Francesco Autorino – Data Analyst</t>
  </si>
  <si>
    <t xml:space="preserve">📌 I fogli</t>
  </si>
  <si>
    <t xml:space="preserve">Controllo → controlli automatici: devono essere tutti ✅</t>
  </si>
  <si>
    <t xml:space="preserve">Riepilogo → i numeri chiave</t>
  </si>
  <si>
    <t xml:space="preserve">Confronto → ⭐ scegli 2 province dai menu a tendina e confrontale</t>
  </si>
  <si>
    <t xml:space="preserve">Calcolatore → ⭐ scrivi il tuo reddito: quanti anni di risparmio per una casa</t>
  </si>
  <si>
    <t xml:space="preserve">Province → le 107 province con gli indicatori calcolati (filtri, colori dal verde al rosso)</t>
  </si>
  <si>
    <t xml:space="preserve">Zone → Nord, Centro, Sud e Isole a confronto, con 3 grafici</t>
  </si>
  <si>
    <t xml:space="preserve">Andamento → redditi e case anno per anno, con l'inflazione</t>
  </si>
  <si>
    <t xml:space="preserve">Dati_Redditi / Dati_Case → i dati per anno (tabelle Excel con filtri)</t>
  </si>
  <si>
    <t xml:space="preserve">🎨 Legenda dei colori</t>
  </si>
  <si>
    <t xml:space="preserve">Testo blu = dato scritto · Testo nero = formula · Cella gialla = da modificare</t>
  </si>
  <si>
    <t xml:space="preserve">📚 Fonti</t>
  </si>
  <si>
    <t xml:space="preserve">Redditi: MEF – Dipartimento delle Finanze, redditi IRPEF su base comunale 2016-2024</t>
  </si>
  <si>
    <t xml:space="preserve">Case: OMI – Agenzia delle Entrate, prezzi medi delle abitazioni per provincia 2016-2025</t>
  </si>
  <si>
    <t xml:space="preserve">Benzina: MIMIT – prezzi dei carburanti, 15 ottobre 2026 (dal ProgettoCarburanti)</t>
  </si>
  <si>
    <t xml:space="preserve">Inflazione: ISTAT, indice NIC</t>
  </si>
  <si>
    <t xml:space="preserve">✅ Controlli automatici</t>
  </si>
  <si>
    <t xml:space="preserve">Controllo</t>
  </si>
  <si>
    <t xml:space="preserve">Atteso</t>
  </si>
  <si>
    <t xml:space="preserve">Trovato</t>
  </si>
  <si>
    <t xml:space="preserve">Esito</t>
  </si>
  <si>
    <t xml:space="preserve">Province nel foglio Province</t>
  </si>
  <si>
    <t xml:space="preserve">Righe di redditi (107 province × 9 anni, meno le province sarde mancanti)</t>
  </si>
  <si>
    <t xml:space="preserve">Righe di case</t>
  </si>
  <si>
    <t xml:space="preserve">Province per zona = 107</t>
  </si>
  <si>
    <t xml:space="preserve">Province senza prezzo della casa</t>
  </si>
  <si>
    <t xml:space="preserve">Errori nelle formule degli anni di reddito</t>
  </si>
  <si>
    <t xml:space="preserve">Nessun reddito sotto i 10.000 €</t>
  </si>
  <si>
    <t xml:space="preserve">🏙️ Il costo della vita nelle province – numeri chiave</t>
  </si>
  <si>
    <t xml:space="preserve">Tutte le celle sono formule sul foglio Province.</t>
  </si>
  <si>
    <t xml:space="preserve">Indicatore</t>
  </si>
  <si>
    <t xml:space="preserve">Valore</t>
  </si>
  <si>
    <t xml:space="preserve">Province analizzate</t>
  </si>
  <si>
    <t xml:space="preserve">Reddito medio di una provincia tipo (mediana, €)</t>
  </si>
  <si>
    <t xml:space="preserve">Provincia con il reddito più alto</t>
  </si>
  <si>
    <t xml:space="preserve">Provincia con il reddito più basso</t>
  </si>
  <si>
    <t xml:space="preserve">Prezzo della casa in una provincia tipo (mediana, €/m²)</t>
  </si>
  <si>
    <t xml:space="preserve">Provincia con le case più care</t>
  </si>
  <si>
    <t xml:space="preserve">Anni di reddito per una casa (mediana)</t>
  </si>
  <si>
    <t xml:space="preserve">Dove la casa è più facile da comprare</t>
  </si>
  <si>
    <t xml:space="preserve">Dove la casa è più difficile da comprare</t>
  </si>
  <si>
    <t xml:space="preserve">Pieno da 50 litri in % del reddito di un mese (mediana)</t>
  </si>
  <si>
    <t xml:space="preserve">Crescita dei redditi 2016-2024 (mediana)</t>
  </si>
  <si>
    <t xml:space="preserve">Crescita dei prezzi delle case 2016-2024 (mediana)</t>
  </si>
  <si>
    <t xml:space="preserve">Inflazione 2016-2024 (ISTAT)</t>
  </si>
  <si>
    <t xml:space="preserve">⚖️ Confronta due province</t>
  </si>
  <si>
    <t xml:space="preserve">Scegli due province dai menu a tendina (celle gialle).</t>
  </si>
  <si>
    <t xml:space="preserve">Provincia</t>
  </si>
  <si>
    <t xml:space="preserve">Milano</t>
  </si>
  <si>
    <t xml:space="preserve">Napoli</t>
  </si>
  <si>
    <t xml:space="preserve">Differenza</t>
  </si>
  <si>
    <t xml:space="preserve">Zona</t>
  </si>
  <si>
    <t xml:space="preserve">Reddito medio 2024 (€)</t>
  </si>
  <si>
    <t xml:space="preserve">Prezzo casa 2025 (€/m²)</t>
  </si>
  <si>
    <t xml:space="preserve">Casa da 80 m² (€)</t>
  </si>
  <si>
    <t xml:space="preserve">Anni di reddito per la casa</t>
  </si>
  <si>
    <t xml:space="preserve">Benzina self (€/l)</t>
  </si>
  <si>
    <t xml:space="preserve">Pieno in % del reddito di un mese</t>
  </si>
  <si>
    <t xml:space="preserve">Crescita reddito 2016-24</t>
  </si>
  <si>
    <t xml:space="preserve">Crescita casa 2016-24</t>
  </si>
  <si>
    <t xml:space="preserve">Posizione per la casa (1 = più facile)</t>
  </si>
  <si>
    <t xml:space="preserve">🧮 Il mio calcolatore</t>
  </si>
  <si>
    <t xml:space="preserve">Scrivi nelle celle gialle il tuo reddito e la casa che vuoi: vedi quanti anni servono in ogni provincia.</t>
  </si>
  <si>
    <t xml:space="preserve">Il mio reddito lordo annuo (€)</t>
  </si>
  <si>
    <t xml:space="preserve">Metri quadri della casa</t>
  </si>
  <si>
    <t xml:space="preserve">Quanto risparmio all'anno (%)</t>
  </si>
  <si>
    <t xml:space="preserve">Anni di risparmio per comprare casa, per zona</t>
  </si>
  <si>
    <t xml:space="preserve">Prezzo medio casa (€)</t>
  </si>
  <si>
    <t xml:space="preserve">Anni di reddito</t>
  </si>
  <si>
    <t xml:space="preserve">Anni di risparmio</t>
  </si>
  <si>
    <t xml:space="preserve">Nord</t>
  </si>
  <si>
    <t xml:space="preserve">Centro</t>
  </si>
  <si>
    <t xml:space="preserve">Sud</t>
  </si>
  <si>
    <t xml:space="preserve">Isole</t>
  </si>
  <si>
    <t xml:space="preserve">Le 5 province dove servono meno anni</t>
  </si>
  <si>
    <t xml:space="preserve">Posto</t>
  </si>
  <si>
    <t xml:space="preserve">Prezzo casa (€)</t>
  </si>
  <si>
    <t xml:space="preserve">🏙️ Le 107 province: dati e indicatori</t>
  </si>
  <si>
    <t xml:space="preserve">Testo blu = dato · Testo nero = formula. Metri quadri della casa e litri del pieno: celle gialle.</t>
  </si>
  <si>
    <t xml:space="preserve">m² casa</t>
  </si>
  <si>
    <t xml:space="preserve">litri pieno</t>
  </si>
  <si>
    <t xml:space="preserve">Sigla</t>
  </si>
  <si>
    <t xml:space="preserve">Regione</t>
  </si>
  <si>
    <t xml:space="preserve">Reddito 2016 (€)</t>
  </si>
  <si>
    <t xml:space="preserve">Prezzo casa 2016 (€/m²)</t>
  </si>
  <si>
    <t xml:space="preserve">Casa (€)</t>
  </si>
  <si>
    <t xml:space="preserve">Pieno (€)</t>
  </si>
  <si>
    <t xml:space="preserve">Pieno in % reddito di un mese</t>
  </si>
  <si>
    <t xml:space="preserve">AG</t>
  </si>
  <si>
    <t xml:space="preserve">Agrigento</t>
  </si>
  <si>
    <t xml:space="preserve">Sicilia</t>
  </si>
  <si>
    <t xml:space="preserve">AL</t>
  </si>
  <si>
    <t xml:space="preserve">Alessandria</t>
  </si>
  <si>
    <t xml:space="preserve">Piemonte</t>
  </si>
  <si>
    <t xml:space="preserve">AN</t>
  </si>
  <si>
    <t xml:space="preserve">Ancona</t>
  </si>
  <si>
    <t xml:space="preserve">Marche</t>
  </si>
  <si>
    <t xml:space="preserve">AO</t>
  </si>
  <si>
    <t xml:space="preserve">Aosta</t>
  </si>
  <si>
    <t xml:space="preserve">Valle d'Aosta</t>
  </si>
  <si>
    <t xml:space="preserve">AR</t>
  </si>
  <si>
    <t xml:space="preserve">Arezzo</t>
  </si>
  <si>
    <t xml:space="preserve">Toscana</t>
  </si>
  <si>
    <t xml:space="preserve">AP</t>
  </si>
  <si>
    <t xml:space="preserve">Ascoli Piceno</t>
  </si>
  <si>
    <t xml:space="preserve">AT</t>
  </si>
  <si>
    <t xml:space="preserve">Asti</t>
  </si>
  <si>
    <t xml:space="preserve">AV</t>
  </si>
  <si>
    <t xml:space="preserve">Avellino</t>
  </si>
  <si>
    <t xml:space="preserve">Campania</t>
  </si>
  <si>
    <t xml:space="preserve">BA</t>
  </si>
  <si>
    <t xml:space="preserve">Bari</t>
  </si>
  <si>
    <t xml:space="preserve">Puglia</t>
  </si>
  <si>
    <t xml:space="preserve">BT</t>
  </si>
  <si>
    <t xml:space="preserve">Barletta-Andria-Trani</t>
  </si>
  <si>
    <t xml:space="preserve">BL</t>
  </si>
  <si>
    <t xml:space="preserve">Belluno</t>
  </si>
  <si>
    <t xml:space="preserve">Veneto</t>
  </si>
  <si>
    <t xml:space="preserve">BN</t>
  </si>
  <si>
    <t xml:space="preserve">Benevento</t>
  </si>
  <si>
    <t xml:space="preserve">BG</t>
  </si>
  <si>
    <t xml:space="preserve">Bergamo</t>
  </si>
  <si>
    <t xml:space="preserve">Lombardia</t>
  </si>
  <si>
    <t xml:space="preserve">BI</t>
  </si>
  <si>
    <t xml:space="preserve">Biella</t>
  </si>
  <si>
    <t xml:space="preserve">BO</t>
  </si>
  <si>
    <t xml:space="preserve">Bologna</t>
  </si>
  <si>
    <t xml:space="preserve">Emilia-Romagna</t>
  </si>
  <si>
    <t xml:space="preserve">BZ</t>
  </si>
  <si>
    <t xml:space="preserve">Bolzano</t>
  </si>
  <si>
    <t xml:space="preserve">Trentino-Alto Adige</t>
  </si>
  <si>
    <t xml:space="preserve">BS</t>
  </si>
  <si>
    <t xml:space="preserve">Brescia</t>
  </si>
  <si>
    <t xml:space="preserve">BR</t>
  </si>
  <si>
    <t xml:space="preserve">Brindisi</t>
  </si>
  <si>
    <t xml:space="preserve">CA</t>
  </si>
  <si>
    <t xml:space="preserve">Cagliari</t>
  </si>
  <si>
    <t xml:space="preserve">Sardegna</t>
  </si>
  <si>
    <t xml:space="preserve">CL</t>
  </si>
  <si>
    <t xml:space="preserve">Caltanissetta</t>
  </si>
  <si>
    <t xml:space="preserve">CB</t>
  </si>
  <si>
    <t xml:space="preserve">Campobasso</t>
  </si>
  <si>
    <t xml:space="preserve">Molise</t>
  </si>
  <si>
    <t xml:space="preserve">CE</t>
  </si>
  <si>
    <t xml:space="preserve">Caserta</t>
  </si>
  <si>
    <t xml:space="preserve">CT</t>
  </si>
  <si>
    <t xml:space="preserve">Catania</t>
  </si>
  <si>
    <t xml:space="preserve">CZ</t>
  </si>
  <si>
    <t xml:space="preserve">Catanzaro</t>
  </si>
  <si>
    <t xml:space="preserve">Calabria</t>
  </si>
  <si>
    <t xml:space="preserve">CH</t>
  </si>
  <si>
    <t xml:space="preserve">Chieti</t>
  </si>
  <si>
    <t xml:space="preserve">Abruzzo</t>
  </si>
  <si>
    <t xml:space="preserve">CO</t>
  </si>
  <si>
    <t xml:space="preserve">Como</t>
  </si>
  <si>
    <t xml:space="preserve">CS</t>
  </si>
  <si>
    <t xml:space="preserve">Cosenza</t>
  </si>
  <si>
    <t xml:space="preserve">CR</t>
  </si>
  <si>
    <t xml:space="preserve">Cremona</t>
  </si>
  <si>
    <t xml:space="preserve">KR</t>
  </si>
  <si>
    <t xml:space="preserve">Crotone</t>
  </si>
  <si>
    <t xml:space="preserve">CN</t>
  </si>
  <si>
    <t xml:space="preserve">Cuneo</t>
  </si>
  <si>
    <t xml:space="preserve">EN</t>
  </si>
  <si>
    <t xml:space="preserve">Enna</t>
  </si>
  <si>
    <t xml:space="preserve">FM</t>
  </si>
  <si>
    <t xml:space="preserve">Fermo</t>
  </si>
  <si>
    <t xml:space="preserve">FE</t>
  </si>
  <si>
    <t xml:space="preserve">Ferrara</t>
  </si>
  <si>
    <t xml:space="preserve">FI</t>
  </si>
  <si>
    <t xml:space="preserve">Firenze</t>
  </si>
  <si>
    <t xml:space="preserve">FG</t>
  </si>
  <si>
    <t xml:space="preserve">Foggia</t>
  </si>
  <si>
    <t xml:space="preserve">FC</t>
  </si>
  <si>
    <t xml:space="preserve">Forli'-Cesena</t>
  </si>
  <si>
    <t xml:space="preserve">FR</t>
  </si>
  <si>
    <t xml:space="preserve">Frosinone</t>
  </si>
  <si>
    <t xml:space="preserve">Lazio</t>
  </si>
  <si>
    <t xml:space="preserve">GE</t>
  </si>
  <si>
    <t xml:space="preserve">Genova</t>
  </si>
  <si>
    <t xml:space="preserve">Liguria</t>
  </si>
  <si>
    <t xml:space="preserve">GO</t>
  </si>
  <si>
    <t xml:space="preserve">Gorizia</t>
  </si>
  <si>
    <t xml:space="preserve">Friuli-Venezia Giulia</t>
  </si>
  <si>
    <t xml:space="preserve">GR</t>
  </si>
  <si>
    <t xml:space="preserve">Grosseto</t>
  </si>
  <si>
    <t xml:space="preserve">IM</t>
  </si>
  <si>
    <t xml:space="preserve">Imperia</t>
  </si>
  <si>
    <t xml:space="preserve">IS</t>
  </si>
  <si>
    <t xml:space="preserve">Isernia</t>
  </si>
  <si>
    <t xml:space="preserve">AQ</t>
  </si>
  <si>
    <t xml:space="preserve">L'Aquila</t>
  </si>
  <si>
    <t xml:space="preserve">SP</t>
  </si>
  <si>
    <t xml:space="preserve">La Spezia</t>
  </si>
  <si>
    <t xml:space="preserve">LT</t>
  </si>
  <si>
    <t xml:space="preserve">Latina</t>
  </si>
  <si>
    <t xml:space="preserve">LE</t>
  </si>
  <si>
    <t xml:space="preserve">Lecce</t>
  </si>
  <si>
    <t xml:space="preserve">LC</t>
  </si>
  <si>
    <t xml:space="preserve">Lecco</t>
  </si>
  <si>
    <t xml:space="preserve">LI</t>
  </si>
  <si>
    <t xml:space="preserve">Livorno</t>
  </si>
  <si>
    <t xml:space="preserve">LO</t>
  </si>
  <si>
    <t xml:space="preserve">Lodi</t>
  </si>
  <si>
    <t xml:space="preserve">LU</t>
  </si>
  <si>
    <t xml:space="preserve">Lucca</t>
  </si>
  <si>
    <t xml:space="preserve">MC</t>
  </si>
  <si>
    <t xml:space="preserve">Macerata</t>
  </si>
  <si>
    <t xml:space="preserve">MN</t>
  </si>
  <si>
    <t xml:space="preserve">Mantova</t>
  </si>
  <si>
    <t xml:space="preserve">MS</t>
  </si>
  <si>
    <t xml:space="preserve">Massa-Carrara</t>
  </si>
  <si>
    <t xml:space="preserve">MT</t>
  </si>
  <si>
    <t xml:space="preserve">Matera</t>
  </si>
  <si>
    <t xml:space="preserve">Basilicata</t>
  </si>
  <si>
    <t xml:space="preserve">ME</t>
  </si>
  <si>
    <t xml:space="preserve">Messina</t>
  </si>
  <si>
    <t xml:space="preserve">MI</t>
  </si>
  <si>
    <t xml:space="preserve">MO</t>
  </si>
  <si>
    <t xml:space="preserve">Modena</t>
  </si>
  <si>
    <t xml:space="preserve">MB</t>
  </si>
  <si>
    <t xml:space="preserve">Monza e Brianza</t>
  </si>
  <si>
    <t xml:space="preserve">NA</t>
  </si>
  <si>
    <t xml:space="preserve">NO</t>
  </si>
  <si>
    <t xml:space="preserve">Novara</t>
  </si>
  <si>
    <t xml:space="preserve">NU</t>
  </si>
  <si>
    <t xml:space="preserve">Nuoro</t>
  </si>
  <si>
    <t xml:space="preserve">OR</t>
  </si>
  <si>
    <t xml:space="preserve">Oristano</t>
  </si>
  <si>
    <t xml:space="preserve">PD</t>
  </si>
  <si>
    <t xml:space="preserve">Padova</t>
  </si>
  <si>
    <t xml:space="preserve">PA</t>
  </si>
  <si>
    <t xml:space="preserve">Palermo</t>
  </si>
  <si>
    <t xml:space="preserve">PR</t>
  </si>
  <si>
    <t xml:space="preserve">Parma</t>
  </si>
  <si>
    <t xml:space="preserve">PV</t>
  </si>
  <si>
    <t xml:space="preserve">Pavia</t>
  </si>
  <si>
    <t xml:space="preserve">PG</t>
  </si>
  <si>
    <t xml:space="preserve">Perugia</t>
  </si>
  <si>
    <t xml:space="preserve">Umbria</t>
  </si>
  <si>
    <t xml:space="preserve">PU</t>
  </si>
  <si>
    <t xml:space="preserve">Pesaro e Urbino</t>
  </si>
  <si>
    <t xml:space="preserve">PE</t>
  </si>
  <si>
    <t xml:space="preserve">Pescara</t>
  </si>
  <si>
    <t xml:space="preserve">PC</t>
  </si>
  <si>
    <t xml:space="preserve">Piacenza</t>
  </si>
  <si>
    <t xml:space="preserve">PI</t>
  </si>
  <si>
    <t xml:space="preserve">Pisa</t>
  </si>
  <si>
    <t xml:space="preserve">PT</t>
  </si>
  <si>
    <t xml:space="preserve">Pistoia</t>
  </si>
  <si>
    <t xml:space="preserve">PN</t>
  </si>
  <si>
    <t xml:space="preserve">Pordenone</t>
  </si>
  <si>
    <t xml:space="preserve">PZ</t>
  </si>
  <si>
    <t xml:space="preserve">Potenza</t>
  </si>
  <si>
    <t xml:space="preserve">PO</t>
  </si>
  <si>
    <t xml:space="preserve">Prato</t>
  </si>
  <si>
    <t xml:space="preserve">RG</t>
  </si>
  <si>
    <t xml:space="preserve">Ragusa</t>
  </si>
  <si>
    <t xml:space="preserve">RA</t>
  </si>
  <si>
    <t xml:space="preserve">Ravenna</t>
  </si>
  <si>
    <t xml:space="preserve">RC</t>
  </si>
  <si>
    <t xml:space="preserve">Reggio Calabria</t>
  </si>
  <si>
    <t xml:space="preserve">RE</t>
  </si>
  <si>
    <t xml:space="preserve">Reggio Emilia</t>
  </si>
  <si>
    <t xml:space="preserve">RI</t>
  </si>
  <si>
    <t xml:space="preserve">Rieti</t>
  </si>
  <si>
    <t xml:space="preserve">RN</t>
  </si>
  <si>
    <t xml:space="preserve">Rimini</t>
  </si>
  <si>
    <t xml:space="preserve">RM</t>
  </si>
  <si>
    <t xml:space="preserve">Roma</t>
  </si>
  <si>
    <t xml:space="preserve">RO</t>
  </si>
  <si>
    <t xml:space="preserve">Rovigo</t>
  </si>
  <si>
    <t xml:space="preserve">SA</t>
  </si>
  <si>
    <t xml:space="preserve">Salerno</t>
  </si>
  <si>
    <t xml:space="preserve">SS</t>
  </si>
  <si>
    <t xml:space="preserve">Sassari</t>
  </si>
  <si>
    <t xml:space="preserve">SV</t>
  </si>
  <si>
    <t xml:space="preserve">Savona</t>
  </si>
  <si>
    <t xml:space="preserve">SI</t>
  </si>
  <si>
    <t xml:space="preserve">Siena</t>
  </si>
  <si>
    <t xml:space="preserve">SR</t>
  </si>
  <si>
    <t xml:space="preserve">Siracusa</t>
  </si>
  <si>
    <t xml:space="preserve">SO</t>
  </si>
  <si>
    <t xml:space="preserve">Sondrio</t>
  </si>
  <si>
    <t xml:space="preserve">SU</t>
  </si>
  <si>
    <t xml:space="preserve">Sud Sardegna</t>
  </si>
  <si>
    <t xml:space="preserve">TA</t>
  </si>
  <si>
    <t xml:space="preserve">Taranto</t>
  </si>
  <si>
    <t xml:space="preserve">TE</t>
  </si>
  <si>
    <t xml:space="preserve">Teramo</t>
  </si>
  <si>
    <t xml:space="preserve">TR</t>
  </si>
  <si>
    <t xml:space="preserve">Terni</t>
  </si>
  <si>
    <t xml:space="preserve">TO</t>
  </si>
  <si>
    <t xml:space="preserve">Torino</t>
  </si>
  <si>
    <t xml:space="preserve">TP</t>
  </si>
  <si>
    <t xml:space="preserve">Trapani</t>
  </si>
  <si>
    <t xml:space="preserve">TN</t>
  </si>
  <si>
    <t xml:space="preserve">Trento</t>
  </si>
  <si>
    <t xml:space="preserve">TV</t>
  </si>
  <si>
    <t xml:space="preserve">Treviso</t>
  </si>
  <si>
    <t xml:space="preserve">TS</t>
  </si>
  <si>
    <t xml:space="preserve">Trieste</t>
  </si>
  <si>
    <t xml:space="preserve">UD</t>
  </si>
  <si>
    <t xml:space="preserve">Udine</t>
  </si>
  <si>
    <t xml:space="preserve">VA</t>
  </si>
  <si>
    <t xml:space="preserve">Varese</t>
  </si>
  <si>
    <t xml:space="preserve">VE</t>
  </si>
  <si>
    <t xml:space="preserve">Venezia</t>
  </si>
  <si>
    <t xml:space="preserve">VB</t>
  </si>
  <si>
    <t xml:space="preserve">Verbano-Cusio-Ossola</t>
  </si>
  <si>
    <t xml:space="preserve">VC</t>
  </si>
  <si>
    <t xml:space="preserve">Vercelli</t>
  </si>
  <si>
    <t xml:space="preserve">VR</t>
  </si>
  <si>
    <t xml:space="preserve">Verona</t>
  </si>
  <si>
    <t xml:space="preserve">VV</t>
  </si>
  <si>
    <t xml:space="preserve">Vibo Valentia</t>
  </si>
  <si>
    <t xml:space="preserve">VI</t>
  </si>
  <si>
    <t xml:space="preserve">Vicenza</t>
  </si>
  <si>
    <t xml:space="preserve">VT</t>
  </si>
  <si>
    <t xml:space="preserve">Viterbo</t>
  </si>
  <si>
    <t xml:space="preserve">🗺️ Nord, Centro, Sud e Isole</t>
  </si>
  <si>
    <t xml:space="preserve">Media semplice delle province di ogni zona (formule AVERAGEIFS sul foglio Province).</t>
  </si>
  <si>
    <t xml:space="preserve">Province</t>
  </si>
  <si>
    <t xml:space="preserve">Reddito medio (€)</t>
  </si>
  <si>
    <t xml:space="preserve">Prezzo casa (€/m²)</t>
  </si>
  <si>
    <t xml:space="preserve">Pieno in % reddito mese</t>
  </si>
  <si>
    <t xml:space="preserve">Italia</t>
  </si>
  <si>
    <t xml:space="preserve">📈 Redditi e case anno per anno</t>
  </si>
  <si>
    <t xml:space="preserve">Media delle province (AVERAGEIFS sui fogli Dati_Redditi e Dati_Case). Inflazione: ISTAT NIC.</t>
  </si>
  <si>
    <t xml:space="preserve">Anno</t>
  </si>
  <si>
    <t xml:space="preserve">Reddito Nord</t>
  </si>
  <si>
    <t xml:space="preserve">Reddito Centro</t>
  </si>
  <si>
    <t xml:space="preserve">Reddito Sud</t>
  </si>
  <si>
    <t xml:space="preserve">Reddito Isole</t>
  </si>
  <si>
    <t xml:space="preserve">Inflazione (2016=100)</t>
  </si>
  <si>
    <t xml:space="preserve">Casa Nord (€/m²)</t>
  </si>
  <si>
    <t xml:space="preserve">Casa Centro (€/m²)</t>
  </si>
  <si>
    <t xml:space="preserve">Casa Sud (€/m²)</t>
  </si>
  <si>
    <t xml:space="preserve">Casa Isole (€/m²)</t>
  </si>
  <si>
    <t xml:space="preserve">anno</t>
  </si>
  <si>
    <t xml:space="preserve">sigla</t>
  </si>
  <si>
    <t xml:space="preserve">provincia</t>
  </si>
  <si>
    <t xml:space="preserve">zona</t>
  </si>
  <si>
    <t xml:space="preserve">contribuenti</t>
  </si>
  <si>
    <t xml:space="preserve">reddito_medio</t>
  </si>
  <si>
    <t xml:space="preserve">stipendio_medio</t>
  </si>
  <si>
    <t xml:space="preserve">pensione_media</t>
  </si>
  <si>
    <t xml:space="preserve">prezzo_mq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</si>
</sst>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@"/>
    <numFmt numFmtId="168" formatCode="0.0"/>
    <numFmt numFmtId="169" formatCode="0.0%"/>
    <numFmt numFmtId="170" formatCode="\+0.0%"/>
    <numFmt numFmtId="171" formatCode="\+0.0%;\-0.0%"/>
    <numFmt numFmtId="172" formatCode="0.000"/>
    <numFmt numFmtId="173" formatCode="0%"/>
    <numFmt numFmtId="174" formatCode="#,##0.00"/>
    <numFmt numFmtId="17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7A8C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2"/>
      <color rgb="FFC65D3B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65D3B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2"/>
      <color rgb="FF1F7A8C"/>
      <name val="Arial"/>
      <family val="0"/>
      <charset val="1"/>
    </font>
    <font>
      <b val="true"/>
      <sz val="12"/>
      <color rgb="FF7A8B3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2333B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7A8B3C"/>
        <bgColor rgb="FF878787"/>
      </patternFill>
    </fill>
    <fill>
      <patternFill patternType="solid">
        <fgColor rgb="FF1F7A8C"/>
        <bgColor rgb="FF008080"/>
      </patternFill>
    </fill>
    <fill>
      <patternFill patternType="solid">
        <fgColor rgb="FFC65D3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DE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0">
    <dxf>
      <fill>
        <patternFill patternType="solid">
          <fgColor rgb="FF2233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7FC67C"/>
          <bgColor rgb="FF000000"/>
        </patternFill>
      </fill>
    </dxf>
    <dxf>
      <fill>
        <patternFill patternType="solid">
          <fgColor rgb="FF85C77C"/>
          <bgColor rgb="FF000000"/>
        </patternFill>
      </fill>
    </dxf>
    <dxf>
      <fill>
        <patternFill patternType="solid">
          <fgColor rgb="FF86C87D"/>
          <bgColor rgb="FF000000"/>
        </patternFill>
      </fill>
    </dxf>
    <dxf>
      <fill>
        <patternFill patternType="solid">
          <fgColor rgb="FF91CB7D"/>
          <bgColor rgb="FF000000"/>
        </patternFill>
      </fill>
    </dxf>
    <dxf>
      <fill>
        <patternFill patternType="solid">
          <fgColor rgb="FF98CD7E"/>
          <bgColor rgb="FF000000"/>
        </patternFill>
      </fill>
    </dxf>
    <dxf>
      <fill>
        <patternFill patternType="solid">
          <fgColor rgb="FF9DCE7E"/>
          <bgColor rgb="FF000000"/>
        </patternFill>
      </fill>
    </dxf>
    <dxf>
      <fill>
        <patternFill patternType="solid">
          <fgColor rgb="FFA3D07E"/>
          <bgColor rgb="FF000000"/>
        </patternFill>
      </fill>
    </dxf>
    <dxf>
      <fill>
        <patternFill patternType="solid">
          <fgColor rgb="FFA4D07E"/>
          <bgColor rgb="FF000000"/>
        </patternFill>
      </fill>
    </dxf>
    <dxf>
      <fill>
        <patternFill patternType="solid">
          <fgColor rgb="FFA5D17E"/>
          <bgColor rgb="FF000000"/>
        </patternFill>
      </fill>
    </dxf>
    <dxf>
      <fill>
        <patternFill patternType="solid">
          <fgColor rgb="FFA6D17E"/>
          <bgColor rgb="FF000000"/>
        </patternFill>
      </fill>
    </dxf>
    <dxf>
      <fill>
        <patternFill patternType="solid">
          <fgColor rgb="FFA7D17E"/>
          <bgColor rgb="FF000000"/>
        </patternFill>
      </fill>
    </dxf>
    <dxf>
      <fill>
        <patternFill patternType="solid">
          <fgColor rgb="FFACD37F"/>
          <bgColor rgb="FF000000"/>
        </patternFill>
      </fill>
    </dxf>
    <dxf>
      <fill>
        <patternFill patternType="solid">
          <fgColor rgb="FFB0D47F"/>
          <bgColor rgb="FF000000"/>
        </patternFill>
      </fill>
    </dxf>
    <dxf>
      <fill>
        <patternFill patternType="solid">
          <fgColor rgb="FFB5D57F"/>
          <bgColor rgb="FF000000"/>
        </patternFill>
      </fill>
    </dxf>
    <dxf>
      <fill>
        <patternFill patternType="solid">
          <fgColor rgb="FFB6D67F"/>
          <bgColor rgb="FF000000"/>
        </patternFill>
      </fill>
    </dxf>
    <dxf>
      <fill>
        <patternFill patternType="solid">
          <fgColor rgb="FFB9D67F"/>
          <bgColor rgb="FF000000"/>
        </patternFill>
      </fill>
    </dxf>
    <dxf>
      <fill>
        <patternFill patternType="solid">
          <fgColor rgb="FFBBD780"/>
          <bgColor rgb="FF000000"/>
        </patternFill>
      </fill>
    </dxf>
    <dxf>
      <fill>
        <patternFill patternType="solid">
          <fgColor rgb="FFBCD780"/>
          <bgColor rgb="FF000000"/>
        </patternFill>
      </fill>
    </dxf>
    <dxf>
      <fill>
        <patternFill patternType="solid">
          <fgColor rgb="FFBED880"/>
          <bgColor rgb="FF000000"/>
        </patternFill>
      </fill>
    </dxf>
    <dxf>
      <fill>
        <patternFill patternType="solid">
          <fgColor rgb="FFC2D980"/>
          <bgColor rgb="FF000000"/>
        </patternFill>
      </fill>
    </dxf>
    <dxf>
      <fill>
        <patternFill patternType="solid">
          <fgColor rgb="FFC4DA80"/>
          <bgColor rgb="FF000000"/>
        </patternFill>
      </fill>
    </dxf>
    <dxf>
      <fill>
        <patternFill patternType="solid">
          <fgColor rgb="FFC6DA80"/>
          <bgColor rgb="FF000000"/>
        </patternFill>
      </fill>
    </dxf>
    <dxf>
      <fill>
        <patternFill patternType="solid">
          <fgColor rgb="FFC8DB80"/>
          <bgColor rgb="FF000000"/>
        </patternFill>
      </fill>
    </dxf>
    <dxf>
      <fill>
        <patternFill patternType="solid">
          <fgColor rgb="FFC9DB80"/>
          <bgColor rgb="FF000000"/>
        </patternFill>
      </fill>
    </dxf>
    <dxf>
      <fill>
        <patternFill patternType="solid">
          <fgColor rgb="FFCEDC81"/>
          <bgColor rgb="FF000000"/>
        </patternFill>
      </fill>
    </dxf>
    <dxf>
      <fill>
        <patternFill patternType="solid">
          <fgColor rgb="FFCEDD81"/>
          <bgColor rgb="FF000000"/>
        </patternFill>
      </fill>
    </dxf>
    <dxf>
      <fill>
        <patternFill patternType="solid">
          <fgColor rgb="FFD0DD81"/>
          <bgColor rgb="FF000000"/>
        </patternFill>
      </fill>
    </dxf>
    <dxf>
      <fill>
        <patternFill patternType="solid">
          <fgColor rgb="FFD2DE81"/>
          <bgColor rgb="FF000000"/>
        </patternFill>
      </fill>
    </dxf>
    <dxf>
      <fill>
        <patternFill patternType="solid">
          <fgColor rgb="FFD5DE81"/>
          <bgColor rgb="FF000000"/>
        </patternFill>
      </fill>
    </dxf>
    <dxf>
      <fill>
        <patternFill patternType="solid">
          <fgColor rgb="FFD6DF81"/>
          <bgColor rgb="FF000000"/>
        </patternFill>
      </fill>
    </dxf>
    <dxf>
      <fill>
        <patternFill patternType="solid">
          <fgColor rgb="FFD9E081"/>
          <bgColor rgb="FF000000"/>
        </patternFill>
      </fill>
    </dxf>
    <dxf>
      <fill>
        <patternFill patternType="solid">
          <fgColor rgb="FFDBE081"/>
          <bgColor rgb="FF000000"/>
        </patternFill>
      </fill>
    </dxf>
    <dxf>
      <fill>
        <patternFill patternType="solid">
          <fgColor rgb="FFE1E282"/>
          <bgColor rgb="FF000000"/>
        </patternFill>
      </fill>
    </dxf>
    <dxf>
      <fill>
        <patternFill patternType="solid">
          <fgColor rgb="FFE3E282"/>
          <bgColor rgb="FF000000"/>
        </patternFill>
      </fill>
    </dxf>
    <dxf>
      <fill>
        <patternFill patternType="solid">
          <fgColor rgb="FFE3E382"/>
          <bgColor rgb="FF000000"/>
        </patternFill>
      </fill>
    </dxf>
    <dxf>
      <fill>
        <patternFill patternType="solid">
          <fgColor rgb="FFEBE582"/>
          <bgColor rgb="FF000000"/>
        </patternFill>
      </fill>
    </dxf>
    <dxf>
      <fill>
        <patternFill patternType="solid">
          <fgColor rgb="FFEDE582"/>
          <bgColor rgb="FF000000"/>
        </patternFill>
      </fill>
    </dxf>
    <dxf>
      <fill>
        <patternFill patternType="solid">
          <fgColor rgb="FFEDE683"/>
          <bgColor rgb="FF000000"/>
        </patternFill>
      </fill>
    </dxf>
    <dxf>
      <fill>
        <patternFill patternType="solid">
          <fgColor rgb="FFEFE683"/>
          <bgColor rgb="FF000000"/>
        </patternFill>
      </fill>
    </dxf>
    <dxf>
      <fill>
        <patternFill patternType="solid">
          <fgColor rgb="FFF0E683"/>
          <bgColor rgb="FF000000"/>
        </patternFill>
      </fill>
    </dxf>
    <dxf>
      <fill>
        <patternFill patternType="solid">
          <fgColor rgb="FFF4E883"/>
          <bgColor rgb="FF000000"/>
        </patternFill>
      </fill>
    </dxf>
    <dxf>
      <fill>
        <patternFill patternType="solid">
          <fgColor rgb="FFF5E883"/>
          <bgColor rgb="FF000000"/>
        </patternFill>
      </fill>
    </dxf>
    <dxf>
      <fill>
        <patternFill patternType="solid">
          <fgColor rgb="FFF7E883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766E"/>
          <bgColor rgb="FF000000"/>
        </patternFill>
      </fill>
    </dxf>
    <dxf>
      <fill>
        <patternFill patternType="solid">
          <fgColor rgb="FFF9796E"/>
          <bgColor rgb="FF000000"/>
        </patternFill>
      </fill>
    </dxf>
    <dxf>
      <fill>
        <patternFill patternType="solid">
          <fgColor rgb="FFF97A6F"/>
          <bgColor rgb="FF000000"/>
        </patternFill>
      </fill>
    </dxf>
    <dxf>
      <fill>
        <patternFill patternType="solid">
          <fgColor rgb="FFF9E983"/>
          <bgColor rgb="FF000000"/>
        </patternFill>
      </fill>
    </dxf>
    <dxf>
      <fill>
        <patternFill patternType="solid">
          <fgColor rgb="FFFB9674"/>
          <bgColor rgb="FF000000"/>
        </patternFill>
      </fill>
    </dxf>
    <dxf>
      <fill>
        <patternFill patternType="solid">
          <fgColor rgb="FFFB9975"/>
          <bgColor rgb="FF000000"/>
        </patternFill>
      </fill>
    </dxf>
    <dxf>
      <fill>
        <patternFill patternType="solid">
          <fgColor rgb="FFFBE983"/>
          <bgColor rgb="FF000000"/>
        </patternFill>
      </fill>
    </dxf>
    <dxf>
      <fill>
        <patternFill patternType="solid">
          <fgColor rgb="FFFCA377"/>
          <bgColor rgb="FF000000"/>
        </patternFill>
      </fill>
    </dxf>
    <dxf>
      <fill>
        <patternFill patternType="solid">
          <fgColor rgb="FFFCAA78"/>
          <bgColor rgb="FF000000"/>
        </patternFill>
      </fill>
    </dxf>
    <dxf>
      <fill>
        <patternFill patternType="solid">
          <fgColor rgb="FFFCAC78"/>
          <bgColor rgb="FF000000"/>
        </patternFill>
      </fill>
    </dxf>
    <dxf>
      <fill>
        <patternFill patternType="solid">
          <fgColor rgb="FFFCB079"/>
          <bgColor rgb="FF000000"/>
        </patternFill>
      </fill>
    </dxf>
    <dxf>
      <fill>
        <patternFill patternType="solid">
          <fgColor rgb="FFFCB279"/>
          <bgColor rgb="FF000000"/>
        </patternFill>
      </fill>
    </dxf>
    <dxf>
      <fill>
        <patternFill patternType="solid">
          <fgColor rgb="FFFDB67A"/>
          <bgColor rgb="FF000000"/>
        </patternFill>
      </fill>
    </dxf>
    <dxf>
      <fill>
        <patternFill patternType="solid">
          <fgColor rgb="FFFDB77A"/>
          <bgColor rgb="FF000000"/>
        </patternFill>
      </fill>
    </dxf>
    <dxf>
      <fill>
        <patternFill patternType="solid">
          <fgColor rgb="FFFDB97B"/>
          <bgColor rgb="FF000000"/>
        </patternFill>
      </fill>
    </dxf>
    <dxf>
      <fill>
        <patternFill patternType="solid">
          <fgColor rgb="FFFDBC7B"/>
          <bgColor rgb="FF000000"/>
        </patternFill>
      </fill>
    </dxf>
    <dxf>
      <fill>
        <patternFill patternType="solid">
          <fgColor rgb="FFFDBF7C"/>
          <bgColor rgb="FF000000"/>
        </patternFill>
      </fill>
    </dxf>
    <dxf>
      <fill>
        <patternFill patternType="solid">
          <fgColor rgb="FFFDC47D"/>
          <bgColor rgb="FF000000"/>
        </patternFill>
      </fill>
    </dxf>
    <dxf>
      <fill>
        <patternFill patternType="solid">
          <fgColor rgb="FFFDC67D"/>
          <bgColor rgb="FF000000"/>
        </patternFill>
      </fill>
    </dxf>
    <dxf>
      <fill>
        <patternFill patternType="solid">
          <fgColor rgb="FFFEC87E"/>
          <bgColor rgb="FF000000"/>
        </patternFill>
      </fill>
    </dxf>
    <dxf>
      <fill>
        <patternFill patternType="solid">
          <fgColor rgb="FFFEC97E"/>
          <bgColor rgb="FF000000"/>
        </patternFill>
      </fill>
    </dxf>
    <dxf>
      <fill>
        <patternFill patternType="solid">
          <fgColor rgb="FFFECB7E"/>
          <bgColor rgb="FF000000"/>
        </patternFill>
      </fill>
    </dxf>
    <dxf>
      <fill>
        <patternFill patternType="solid">
          <fgColor rgb="FFFECC7E"/>
          <bgColor rgb="FF000000"/>
        </patternFill>
      </fill>
    </dxf>
    <dxf>
      <fill>
        <patternFill patternType="solid">
          <fgColor rgb="FFFECE7F"/>
          <bgColor rgb="FF000000"/>
        </patternFill>
      </fill>
    </dxf>
    <dxf>
      <fill>
        <patternFill patternType="solid">
          <fgColor rgb="FFFECF7F"/>
          <bgColor rgb="FF000000"/>
        </patternFill>
      </fill>
    </dxf>
    <dxf>
      <fill>
        <patternFill patternType="solid">
          <fgColor rgb="FFFED480"/>
          <bgColor rgb="FF000000"/>
        </patternFill>
      </fill>
    </dxf>
    <dxf>
      <fill>
        <patternFill patternType="solid">
          <fgColor rgb="FFFED580"/>
          <bgColor rgb="FF000000"/>
        </patternFill>
      </fill>
    </dxf>
    <dxf>
      <fill>
        <patternFill patternType="solid">
          <fgColor rgb="FFFED680"/>
          <bgColor rgb="FF000000"/>
        </patternFill>
      </fill>
    </dxf>
    <dxf>
      <fill>
        <patternFill patternType="solid">
          <fgColor rgb="FFFED781"/>
          <bgColor rgb="FF000000"/>
        </patternFill>
      </fill>
    </dxf>
    <dxf>
      <fill>
        <patternFill patternType="solid">
          <fgColor rgb="FFFED881"/>
          <bgColor rgb="FF000000"/>
        </patternFill>
      </fill>
    </dxf>
    <dxf>
      <fill>
        <patternFill patternType="solid">
          <fgColor rgb="FFFED981"/>
          <bgColor rgb="FF000000"/>
        </patternFill>
      </fill>
    </dxf>
    <dxf>
      <fill>
        <patternFill patternType="solid">
          <fgColor rgb="FFFFDC81"/>
          <bgColor rgb="FF000000"/>
        </patternFill>
      </fill>
    </dxf>
    <dxf>
      <fill>
        <patternFill patternType="solid">
          <fgColor rgb="FFFFDD82"/>
          <bgColor rgb="FF000000"/>
        </patternFill>
      </fill>
    </dxf>
    <dxf>
      <fill>
        <patternFill patternType="solid">
          <fgColor rgb="FFFFDE82"/>
          <bgColor rgb="FF000000"/>
        </patternFill>
      </fill>
    </dxf>
    <dxf>
      <fill>
        <patternFill patternType="solid">
          <fgColor rgb="FFFFDF82"/>
          <bgColor rgb="FF000000"/>
        </patternFill>
      </fill>
    </dxf>
    <dxf>
      <fill>
        <patternFill patternType="solid">
          <fgColor rgb="FFFFE283"/>
          <bgColor rgb="FF000000"/>
        </patternFill>
      </fill>
    </dxf>
    <dxf>
      <fill>
        <patternFill patternType="solid">
          <fgColor rgb="FFFFE583"/>
          <bgColor rgb="FF000000"/>
        </patternFill>
      </fill>
    </dxf>
    <dxf>
      <fill>
        <patternFill patternType="solid">
          <fgColor rgb="FFFFE683"/>
          <bgColor rgb="FF000000"/>
        </patternFill>
      </fill>
    </dxf>
    <dxf>
      <fill>
        <patternFill patternType="solid">
          <fgColor rgb="FFFFE784"/>
          <bgColor rgb="FF000000"/>
        </patternFill>
      </fill>
    </dxf>
    <dxf>
      <fill>
        <patternFill patternType="solid">
          <fgColor rgb="FFFFEA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8B3C"/>
      <rgbColor rgb="FF800080"/>
      <rgbColor rgb="FF1F7A8C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5DED3"/>
      <rgbColor rgb="FFFFFF99"/>
      <rgbColor rgb="FF99CCFF"/>
      <rgbColor rgb="FFFF99CC"/>
      <rgbColor rgb="FFCC99FF"/>
      <rgbColor rgb="FFE9C46A"/>
      <rgbColor rgb="FF3366FF"/>
      <rgbColor rgb="FF33CCCC"/>
      <rgbColor rgb="FF99CC00"/>
      <rgbColor rgb="FFFFCC00"/>
      <rgbColor rgb="FFFF9900"/>
      <rgbColor rgb="FFC65D3B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Reddito medio per zona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7a8c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Zone!$A$5:$A$8</c:f>
              <c:strCache>
                <c:ptCount val="4"/>
                <c:pt idx="0">
                  <c:v>Nord</c:v>
                </c:pt>
                <c:pt idx="1">
                  <c:v>Centro</c:v>
                </c:pt>
                <c:pt idx="2">
                  <c:v>Sud</c:v>
                </c:pt>
                <c:pt idx="3">
                  <c:v>Isole</c:v>
                </c:pt>
              </c:strCache>
            </c:strRef>
          </c:cat>
          <c:val>
            <c:numRef>
              <c:f>Zone!$C$5:$C$8</c:f>
              <c:numCache>
                <c:formatCode>#,##0</c:formatCode>
                <c:ptCount val="4"/>
                <c:pt idx="0">
                  <c:v>26490.4680851064</c:v>
                </c:pt>
                <c:pt idx="1">
                  <c:v>24323.9090909091</c:v>
                </c:pt>
                <c:pt idx="2">
                  <c:v>20050.5416666667</c:v>
                </c:pt>
                <c:pt idx="3">
                  <c:v>20126.0714285714</c:v>
                </c:pt>
              </c:numCache>
            </c:numRef>
          </c:val>
        </c:ser>
        <c:gapWidth val="150"/>
        <c:overlap val="0"/>
        <c:axId val="24045933"/>
        <c:axId val="93345238"/>
      </c:barChart>
      <c:catAx>
        <c:axId val="240459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45238"/>
        <c:crosses val="autoZero"/>
        <c:auto val="1"/>
        <c:lblAlgn val="ctr"/>
        <c:lblOffset val="100"/>
        <c:noMultiLvlLbl val="0"/>
      </c:catAx>
      <c:valAx>
        <c:axId val="9334523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045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Prezzo delle case per zona (€/m²)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65d3b"/>
            </a:solidFill>
            <a:ln w="0">
              <a:noFill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Zone!$A$5:$A$8</c:f>
              <c:strCache>
                <c:ptCount val="4"/>
                <c:pt idx="0">
                  <c:v>Nord</c:v>
                </c:pt>
                <c:pt idx="1">
                  <c:v>Centro</c:v>
                </c:pt>
                <c:pt idx="2">
                  <c:v>Sud</c:v>
                </c:pt>
                <c:pt idx="3">
                  <c:v>Isole</c:v>
                </c:pt>
              </c:strCache>
            </c:strRef>
          </c:cat>
          <c:val>
            <c:numRef>
              <c:f>Zone!$D$5:$D$8</c:f>
              <c:numCache>
                <c:formatCode>#,##0</c:formatCode>
                <c:ptCount val="4"/>
                <c:pt idx="0">
                  <c:v>1496.29787234043</c:v>
                </c:pt>
                <c:pt idx="1">
                  <c:v>1442.86363636364</c:v>
                </c:pt>
                <c:pt idx="2">
                  <c:v>890.375</c:v>
                </c:pt>
                <c:pt idx="3">
                  <c:v>921.230769230769</c:v>
                </c:pt>
              </c:numCache>
            </c:numRef>
          </c:val>
        </c:ser>
        <c:gapWidth val="150"/>
        <c:overlap val="0"/>
        <c:axId val="30076352"/>
        <c:axId val="22317282"/>
      </c:barChart>
      <c:catAx>
        <c:axId val="3007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17282"/>
        <c:crosses val="autoZero"/>
        <c:auto val="1"/>
        <c:lblAlgn val="ctr"/>
        <c:lblOffset val="100"/>
        <c:noMultiLvlLbl val="0"/>
      </c:catAx>
      <c:valAx>
        <c:axId val="2231728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763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Anni di reddito per una casa da 80 m²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7a8b3c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Zone!$A$5:$A$8</c:f>
              <c:strCache>
                <c:ptCount val="4"/>
                <c:pt idx="0">
                  <c:v>Nord</c:v>
                </c:pt>
                <c:pt idx="1">
                  <c:v>Centro</c:v>
                </c:pt>
                <c:pt idx="2">
                  <c:v>Sud</c:v>
                </c:pt>
                <c:pt idx="3">
                  <c:v>Isole</c:v>
                </c:pt>
              </c:strCache>
            </c:strRef>
          </c:cat>
          <c:val>
            <c:numRef>
              <c:f>Zone!$E$5:$E$8</c:f>
              <c:numCache>
                <c:formatCode>0.0</c:formatCode>
                <c:ptCount val="4"/>
                <c:pt idx="0">
                  <c:v>4.50176719189792</c:v>
                </c:pt>
                <c:pt idx="1">
                  <c:v>4.70341172876341</c:v>
                </c:pt>
                <c:pt idx="2">
                  <c:v>3.53921068872757</c:v>
                </c:pt>
                <c:pt idx="3">
                  <c:v>3.61421812722264</c:v>
                </c:pt>
              </c:numCache>
            </c:numRef>
          </c:val>
        </c:ser>
        <c:gapWidth val="150"/>
        <c:overlap val="0"/>
        <c:axId val="83422730"/>
        <c:axId val="98788953"/>
      </c:barChart>
      <c:catAx>
        <c:axId val="834227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788953"/>
        <c:crosses val="autoZero"/>
        <c:auto val="1"/>
        <c:lblAlgn val="ctr"/>
        <c:lblOffset val="100"/>
        <c:noMultiLvlLbl val="0"/>
      </c:catAx>
      <c:valAx>
        <c:axId val="98788953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227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Reddito medio per zona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Andamento!B4</c:f>
              <c:strCache>
                <c:ptCount val="1"/>
                <c:pt idx="0">
                  <c:v>Reddito Nord</c:v>
                </c:pt>
              </c:strCache>
            </c:strRef>
          </c:tx>
          <c:spPr>
            <a:solidFill>
              <a:srgbClr val="1f7a8c"/>
            </a:solidFill>
            <a:ln w="28080">
              <a:solidFill>
                <a:srgbClr val="1f7a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Andamento!$A$5:$A$13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Andamento!$B$5:$B$13</c:f>
              <c:numCache>
                <c:formatCode>#,##0</c:formatCode>
                <c:ptCount val="9"/>
                <c:pt idx="0">
                  <c:v>22297.4468085106</c:v>
                </c:pt>
                <c:pt idx="1">
                  <c:v>22411.9574468085</c:v>
                </c:pt>
                <c:pt idx="2">
                  <c:v>22917.3404255319</c:v>
                </c:pt>
                <c:pt idx="3">
                  <c:v>23062.1489361702</c:v>
                </c:pt>
                <c:pt idx="4">
                  <c:v>22762.2127659574</c:v>
                </c:pt>
                <c:pt idx="5">
                  <c:v>23816.0212765957</c:v>
                </c:pt>
                <c:pt idx="6">
                  <c:v>24968.7659574468</c:v>
                </c:pt>
                <c:pt idx="7">
                  <c:v>25525.5531914894</c:v>
                </c:pt>
                <c:pt idx="8">
                  <c:v>26490.4680851064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Andamento!C4</c:f>
              <c:strCache>
                <c:ptCount val="1"/>
                <c:pt idx="0">
                  <c:v>Reddito Centro</c:v>
                </c:pt>
              </c:strCache>
            </c:strRef>
          </c:tx>
          <c:spPr>
            <a:solidFill>
              <a:srgbClr val="7a8b3c"/>
            </a:solidFill>
            <a:ln w="28080">
              <a:solidFill>
                <a:srgbClr val="7a8b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Andamento!$A$5:$A$13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Andamento!$C$5:$C$13</c:f>
              <c:numCache>
                <c:formatCode>#,##0</c:formatCode>
                <c:ptCount val="9"/>
                <c:pt idx="0">
                  <c:v>20180.6818181818</c:v>
                </c:pt>
                <c:pt idx="1">
                  <c:v>20258.6818181818</c:v>
                </c:pt>
                <c:pt idx="2">
                  <c:v>20738.0909090909</c:v>
                </c:pt>
                <c:pt idx="3">
                  <c:v>20906.1818181818</c:v>
                </c:pt>
                <c:pt idx="4">
                  <c:v>20685.5454545455</c:v>
                </c:pt>
                <c:pt idx="5">
                  <c:v>21590.6363636364</c:v>
                </c:pt>
                <c:pt idx="6">
                  <c:v>22691.5454545455</c:v>
                </c:pt>
                <c:pt idx="7">
                  <c:v>23367.3636363636</c:v>
                </c:pt>
                <c:pt idx="8">
                  <c:v>24323.9090909091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Andamento!D4</c:f>
              <c:strCache>
                <c:ptCount val="1"/>
                <c:pt idx="0">
                  <c:v>Reddito Sud</c:v>
                </c:pt>
              </c:strCache>
            </c:strRef>
          </c:tx>
          <c:spPr>
            <a:solidFill>
              <a:srgbClr val="c65d3b"/>
            </a:solidFill>
            <a:ln w="28080">
              <a:solidFill>
                <a:srgbClr val="c65d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Andamento!$A$5:$A$13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Andamento!$D$5:$D$13</c:f>
              <c:numCache>
                <c:formatCode>#,##0</c:formatCode>
                <c:ptCount val="9"/>
                <c:pt idx="0">
                  <c:v>16200.125</c:v>
                </c:pt>
                <c:pt idx="1">
                  <c:v>16250.5</c:v>
                </c:pt>
                <c:pt idx="2">
                  <c:v>16607.7083333333</c:v>
                </c:pt>
                <c:pt idx="3">
                  <c:v>16760.8333333333</c:v>
                </c:pt>
                <c:pt idx="4">
                  <c:v>16793.8333333333</c:v>
                </c:pt>
                <c:pt idx="5">
                  <c:v>17514.9583333333</c:v>
                </c:pt>
                <c:pt idx="6">
                  <c:v>18429.3333333333</c:v>
                </c:pt>
                <c:pt idx="7">
                  <c:v>19194.0416666667</c:v>
                </c:pt>
                <c:pt idx="8">
                  <c:v>20050.5416666667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Andamento!E4</c:f>
              <c:strCache>
                <c:ptCount val="1"/>
                <c:pt idx="0">
                  <c:v>Reddito Isole</c:v>
                </c:pt>
              </c:strCache>
            </c:strRef>
          </c:tx>
          <c:spPr>
            <a:solidFill>
              <a:srgbClr val="e9c46a"/>
            </a:solidFill>
            <a:ln w="28080">
              <a:solidFill>
                <a:srgbClr val="e9c4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Andamento!$A$5:$A$13</c:f>
              <c:strCach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strCache>
            </c:strRef>
          </c:cat>
          <c:val>
            <c:numRef>
              <c:f>Andamento!$E$5:$E$13</c:f>
              <c:numCache>
                <c:formatCode>#,##0</c:formatCode>
                <c:ptCount val="9"/>
                <c:pt idx="0">
                  <c:v>16265.3846153846</c:v>
                </c:pt>
                <c:pt idx="1">
                  <c:v>16404.7857142857</c:v>
                </c:pt>
                <c:pt idx="2">
                  <c:v>16757.0714285714</c:v>
                </c:pt>
                <c:pt idx="3">
                  <c:v>16893.7142857143</c:v>
                </c:pt>
                <c:pt idx="4">
                  <c:v>16887.4285714286</c:v>
                </c:pt>
                <c:pt idx="5">
                  <c:v>17562.1428571429</c:v>
                </c:pt>
                <c:pt idx="6">
                  <c:v>18455.6428571429</c:v>
                </c:pt>
                <c:pt idx="7">
                  <c:v>19266.8571428571</c:v>
                </c:pt>
                <c:pt idx="8">
                  <c:v>20126.0714285714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257357"/>
        <c:axId val="54577892"/>
      </c:lineChart>
      <c:catAx>
        <c:axId val="402573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77892"/>
        <c:crosses val="autoZero"/>
        <c:auto val="1"/>
        <c:lblAlgn val="ctr"/>
        <c:lblOffset val="100"/>
        <c:noMultiLvlLbl val="0"/>
      </c:catAx>
      <c:valAx>
        <c:axId val="545778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573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Prezzo delle case per zona (€/m²)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Andamento!B16</c:f>
              <c:strCache>
                <c:ptCount val="1"/>
                <c:pt idx="0">
                  <c:v>Casa Nord (€/m²)</c:v>
                </c:pt>
              </c:strCache>
            </c:strRef>
          </c:tx>
          <c:spPr>
            <a:solidFill>
              <a:srgbClr val="1f7a8c"/>
            </a:solidFill>
            <a:ln w="28080">
              <a:solidFill>
                <a:srgbClr val="1f7a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Andamento!$A$17:$A$26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Andamento!$B$17:$B$26</c:f>
              <c:numCache>
                <c:formatCode>#,##0</c:formatCode>
                <c:ptCount val="10"/>
                <c:pt idx="0">
                  <c:v>1485.10869565217</c:v>
                </c:pt>
                <c:pt idx="1">
                  <c:v>1459.44680851064</c:v>
                </c:pt>
                <c:pt idx="2">
                  <c:v>1447.51063829787</c:v>
                </c:pt>
                <c:pt idx="3">
                  <c:v>1438</c:v>
                </c:pt>
                <c:pt idx="4">
                  <c:v>1433.93617021277</c:v>
                </c:pt>
                <c:pt idx="5">
                  <c:v>1423.31914893617</c:v>
                </c:pt>
                <c:pt idx="6">
                  <c:v>1434.1914893617</c:v>
                </c:pt>
                <c:pt idx="7">
                  <c:v>1449.85106382979</c:v>
                </c:pt>
                <c:pt idx="8">
                  <c:v>1467.3829787234</c:v>
                </c:pt>
                <c:pt idx="9">
                  <c:v>1496.29787234043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Andamento!C16</c:f>
              <c:strCache>
                <c:ptCount val="1"/>
                <c:pt idx="0">
                  <c:v>Casa Centro (€/m²)</c:v>
                </c:pt>
              </c:strCache>
            </c:strRef>
          </c:tx>
          <c:spPr>
            <a:solidFill>
              <a:srgbClr val="7a8b3c"/>
            </a:solidFill>
            <a:ln w="28080">
              <a:solidFill>
                <a:srgbClr val="7a8b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Andamento!$A$17:$A$26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Andamento!$C$17:$C$26</c:f>
              <c:numCache>
                <c:formatCode>#,##0</c:formatCode>
                <c:ptCount val="10"/>
                <c:pt idx="0">
                  <c:v>1590.09090909091</c:v>
                </c:pt>
                <c:pt idx="1">
                  <c:v>1545.40909090909</c:v>
                </c:pt>
                <c:pt idx="2">
                  <c:v>1509.90909090909</c:v>
                </c:pt>
                <c:pt idx="3">
                  <c:v>1485.04545454545</c:v>
                </c:pt>
                <c:pt idx="4">
                  <c:v>1466.68181818182</c:v>
                </c:pt>
                <c:pt idx="5">
                  <c:v>1440.36363636364</c:v>
                </c:pt>
                <c:pt idx="6">
                  <c:v>1431.68181818182</c:v>
                </c:pt>
                <c:pt idx="7">
                  <c:v>1434.59090909091</c:v>
                </c:pt>
                <c:pt idx="8">
                  <c:v>1436.04545454545</c:v>
                </c:pt>
                <c:pt idx="9">
                  <c:v>1442.86363636364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Andamento!D16</c:f>
              <c:strCache>
                <c:ptCount val="1"/>
                <c:pt idx="0">
                  <c:v>Casa Sud (€/m²)</c:v>
                </c:pt>
              </c:strCache>
            </c:strRef>
          </c:tx>
          <c:spPr>
            <a:solidFill>
              <a:srgbClr val="c65d3b"/>
            </a:solidFill>
            <a:ln w="28080">
              <a:solidFill>
                <a:srgbClr val="c65d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Andamento!$A$17:$A$26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Andamento!$D$17:$D$26</c:f>
              <c:numCache>
                <c:formatCode>#,##0</c:formatCode>
                <c:ptCount val="10"/>
                <c:pt idx="0">
                  <c:v>892.521739130435</c:v>
                </c:pt>
                <c:pt idx="1">
                  <c:v>897</c:v>
                </c:pt>
                <c:pt idx="2">
                  <c:v>898.173913043478</c:v>
                </c:pt>
                <c:pt idx="3">
                  <c:v>903.541666666667</c:v>
                </c:pt>
                <c:pt idx="4">
                  <c:v>885.416666666667</c:v>
                </c:pt>
                <c:pt idx="5">
                  <c:v>874.041666666667</c:v>
                </c:pt>
                <c:pt idx="6">
                  <c:v>872.458333333333</c:v>
                </c:pt>
                <c:pt idx="7">
                  <c:v>876.875</c:v>
                </c:pt>
                <c:pt idx="8">
                  <c:v>884.625</c:v>
                </c:pt>
                <c:pt idx="9">
                  <c:v>890.375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Andamento!E16</c:f>
              <c:strCache>
                <c:ptCount val="1"/>
                <c:pt idx="0">
                  <c:v>Casa Isole (€/m²)</c:v>
                </c:pt>
              </c:strCache>
            </c:strRef>
          </c:tx>
          <c:spPr>
            <a:solidFill>
              <a:srgbClr val="e9c46a"/>
            </a:solidFill>
            <a:ln w="28080">
              <a:solidFill>
                <a:srgbClr val="e9c46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Andamento!$A$17:$A$26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Andamento!$E$17:$E$26</c:f>
              <c:numCache>
                <c:formatCode>#,##0</c:formatCode>
                <c:ptCount val="10"/>
                <c:pt idx="0">
                  <c:v>965.538461538462</c:v>
                </c:pt>
                <c:pt idx="1">
                  <c:v>954.076923076923</c:v>
                </c:pt>
                <c:pt idx="2">
                  <c:v>944.307692307692</c:v>
                </c:pt>
                <c:pt idx="3">
                  <c:v>936.692307692308</c:v>
                </c:pt>
                <c:pt idx="4">
                  <c:v>926.615384615385</c:v>
                </c:pt>
                <c:pt idx="5">
                  <c:v>907.923076923077</c:v>
                </c:pt>
                <c:pt idx="6">
                  <c:v>902.384615384615</c:v>
                </c:pt>
                <c:pt idx="7">
                  <c:v>904.923076923077</c:v>
                </c:pt>
                <c:pt idx="8">
                  <c:v>908.923076923077</c:v>
                </c:pt>
                <c:pt idx="9">
                  <c:v>921.230769230769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987164"/>
        <c:axId val="60026861"/>
      </c:lineChart>
      <c:catAx>
        <c:axId val="429871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026861"/>
        <c:crosses val="autoZero"/>
        <c:auto val="1"/>
        <c:lblAlgn val="ctr"/>
        <c:lblOffset val="100"/>
        <c:noMultiLvlLbl val="0"/>
      </c:catAx>
      <c:valAx>
        <c:axId val="6002686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9871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15</xdr:col>
      <xdr:colOff>507600</xdr:colOff>
      <xdr:row>14</xdr:row>
      <xdr:rowOff>42120</xdr:rowOff>
    </xdr:to>
    <xdr:graphicFrame>
      <xdr:nvGraphicFramePr>
        <xdr:cNvPr id="0" name="Chart 1"/>
        <xdr:cNvGraphicFramePr/>
      </xdr:nvGraphicFramePr>
      <xdr:xfrm>
        <a:off x="596844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9360</xdr:rowOff>
    </xdr:from>
    <xdr:to>
      <xdr:col>15</xdr:col>
      <xdr:colOff>507600</xdr:colOff>
      <xdr:row>30</xdr:row>
      <xdr:rowOff>42120</xdr:rowOff>
    </xdr:to>
    <xdr:graphicFrame>
      <xdr:nvGraphicFramePr>
        <xdr:cNvPr id="1" name="Chart 2"/>
        <xdr:cNvGraphicFramePr/>
      </xdr:nvGraphicFramePr>
      <xdr:xfrm>
        <a:off x="596844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9</xdr:row>
      <xdr:rowOff>9720</xdr:rowOff>
    </xdr:from>
    <xdr:to>
      <xdr:col>4</xdr:col>
      <xdr:colOff>936360</xdr:colOff>
      <xdr:row>23</xdr:row>
      <xdr:rowOff>42120</xdr:rowOff>
    </xdr:to>
    <xdr:graphicFrame>
      <xdr:nvGraphicFramePr>
        <xdr:cNvPr id="2" name="Chart 3"/>
        <xdr:cNvGraphicFramePr/>
      </xdr:nvGraphicFramePr>
      <xdr:xfrm>
        <a:off x="0" y="20955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17</xdr:col>
      <xdr:colOff>4320</xdr:colOff>
      <xdr:row>15</xdr:row>
      <xdr:rowOff>12960</xdr:rowOff>
    </xdr:to>
    <xdr:graphicFrame>
      <xdr:nvGraphicFramePr>
        <xdr:cNvPr id="3" name="Chart 1"/>
        <xdr:cNvGraphicFramePr/>
      </xdr:nvGraphicFramePr>
      <xdr:xfrm>
        <a:off x="6109200" y="3808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20160</xdr:rowOff>
    </xdr:from>
    <xdr:to>
      <xdr:col>17</xdr:col>
      <xdr:colOff>4320</xdr:colOff>
      <xdr:row>30</xdr:row>
      <xdr:rowOff>52920</xdr:rowOff>
    </xdr:to>
    <xdr:graphicFrame>
      <xdr:nvGraphicFramePr>
        <xdr:cNvPr id="4" name="Chart 2"/>
        <xdr:cNvGraphicFramePr/>
      </xdr:nvGraphicFramePr>
      <xdr:xfrm>
        <a:off x="6109200" y="34290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Case" displayName="TabCase" ref="A1:E1061" headerRowCount="1" totalsRowCount="0" totalsRowShown="0">
  <autoFilter ref="A1:E1061"/>
  <tableColumns count="5">
    <tableColumn id="1" name="anno"/>
    <tableColumn id="2" name="sigla"/>
    <tableColumn id="3" name="provincia"/>
    <tableColumn id="4" name="zona"/>
    <tableColumn id="5" name="prezzo_mq"/>
  </tableColumns>
</table>
</file>

<file path=xl/tables/table2.xml><?xml version="1.0" encoding="utf-8"?>
<table xmlns="http://schemas.openxmlformats.org/spreadsheetml/2006/main" id="2" name="TabRedditi" displayName="TabRedditi" ref="A1:H963" headerRowCount="1" totalsRowCount="0" totalsRowShown="0">
  <autoFilter ref="A1:H963"/>
  <tableColumns count="8">
    <tableColumn id="1" name="anno"/>
    <tableColumn id="2" name="sigla"/>
    <tableColumn id="3" name="provincia"/>
    <tableColumn id="4" name="zona"/>
    <tableColumn id="5" name="contribuenti"/>
    <tableColumn id="6" name="reddito_medio"/>
    <tableColumn id="7" name="stipendio_medio"/>
    <tableColumn id="8" name="pensione_medi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4" t="s">
        <v>9</v>
      </c>
    </row>
    <row r="12" customFormat="false" ht="15" hidden="false" customHeight="false" outlineLevel="0" collapsed="false">
      <c r="A12" s="4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0"/>
    <col collapsed="false" customWidth="true" hidden="false" outlineLevel="0" max="4" min="4" style="0" width="12"/>
  </cols>
  <sheetData>
    <row r="1" customFormat="false" ht="19.7" hidden="false" customHeight="false" outlineLevel="0" collapsed="false">
      <c r="A1" s="1" t="s">
        <v>18</v>
      </c>
    </row>
    <row r="3" customFormat="false" ht="15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</row>
    <row r="4" customFormat="false" ht="15" hidden="false" customHeight="false" outlineLevel="0" collapsed="false">
      <c r="A4" s="4" t="s">
        <v>23</v>
      </c>
      <c r="B4" s="6" t="n">
        <v>107</v>
      </c>
      <c r="C4" s="4" t="n">
        <f aca="false">COUNTA(Province!$A$5:$A$111)</f>
        <v>107</v>
      </c>
      <c r="D4" s="7" t="str">
        <f aca="false">IF(C4=B4,"✅ OK","❌ Errore")</f>
        <v>✅ OK</v>
      </c>
    </row>
    <row r="5" customFormat="false" ht="15" hidden="false" customHeight="false" outlineLevel="0" collapsed="false">
      <c r="A5" s="4" t="s">
        <v>24</v>
      </c>
      <c r="B5" s="6" t="n">
        <v>962</v>
      </c>
      <c r="C5" s="4" t="n">
        <f aca="false">COUNTA(Dati_Redditi!$B$2:$B$963)</f>
        <v>962</v>
      </c>
      <c r="D5" s="7" t="str">
        <f aca="false">IF(C5=B5,"✅ OK","❌ Errore")</f>
        <v>✅ OK</v>
      </c>
    </row>
    <row r="6" customFormat="false" ht="15" hidden="false" customHeight="false" outlineLevel="0" collapsed="false">
      <c r="A6" s="4" t="s">
        <v>25</v>
      </c>
      <c r="B6" s="6" t="n">
        <v>1060</v>
      </c>
      <c r="C6" s="4" t="n">
        <f aca="false">COUNTA(Dati_Case!$B$2:$B$1061)</f>
        <v>1060</v>
      </c>
      <c r="D6" s="7" t="str">
        <f aca="false">IF(C6=B6,"✅ OK","❌ Errore")</f>
        <v>✅ OK</v>
      </c>
    </row>
    <row r="7" customFormat="false" ht="15" hidden="false" customHeight="false" outlineLevel="0" collapsed="false">
      <c r="A7" s="4" t="s">
        <v>26</v>
      </c>
      <c r="B7" s="6" t="n">
        <v>107</v>
      </c>
      <c r="C7" s="4" t="n">
        <f aca="false">Zone!B9</f>
        <v>107</v>
      </c>
      <c r="D7" s="7" t="str">
        <f aca="false">IF(C7=B7,"✅ OK","❌ Errore")</f>
        <v>✅ OK</v>
      </c>
    </row>
    <row r="8" customFormat="false" ht="15" hidden="false" customHeight="false" outlineLevel="0" collapsed="false">
      <c r="A8" s="4" t="s">
        <v>27</v>
      </c>
      <c r="B8" s="6" t="n">
        <v>1</v>
      </c>
      <c r="C8" s="4" t="n">
        <f aca="false">COUNTBLANK(Province!$G$5:$G$111)</f>
        <v>1</v>
      </c>
      <c r="D8" s="7" t="str">
        <f aca="false">IF(C8=B8,"✅ OK","❌ Errore")</f>
        <v>✅ OK</v>
      </c>
    </row>
    <row r="9" customFormat="false" ht="15" hidden="false" customHeight="false" outlineLevel="0" collapsed="false">
      <c r="A9" s="4" t="s">
        <v>28</v>
      </c>
      <c r="B9" s="6" t="n">
        <v>0</v>
      </c>
      <c r="C9" s="4" t="n">
        <f aca="false">SUMPRODUCT(--ISERROR(Province!$K$5:$K$111))</f>
        <v>0</v>
      </c>
      <c r="D9" s="7" t="str">
        <f aca="false">IF(C9=B9,"✅ OK","❌ Errore")</f>
        <v>✅ OK</v>
      </c>
    </row>
    <row r="10" customFormat="false" ht="15" hidden="false" customHeight="false" outlineLevel="0" collapsed="false">
      <c r="A10" s="4" t="s">
        <v>29</v>
      </c>
      <c r="B10" s="6" t="n">
        <v>0</v>
      </c>
      <c r="C10" s="4" t="n">
        <f aca="false">COUNTIF(Province!$E$5:$E$111,"&lt;10000")</f>
        <v>0</v>
      </c>
      <c r="D10" s="7" t="str">
        <f aca="false">IF(C10=B10,"✅ OK","❌ Errore")</f>
        <v>✅ 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5" t="s">
        <v>32</v>
      </c>
      <c r="B3" s="5" t="s">
        <v>33</v>
      </c>
    </row>
    <row r="4" customFormat="false" ht="15" hidden="false" customHeight="false" outlineLevel="0" collapsed="false">
      <c r="A4" s="8" t="s">
        <v>34</v>
      </c>
      <c r="B4" s="9" t="n">
        <f aca="false">COUNTA(Province!$A$5:$A$111)</f>
        <v>107</v>
      </c>
    </row>
    <row r="5" customFormat="false" ht="15" hidden="false" customHeight="false" outlineLevel="0" collapsed="false">
      <c r="A5" s="8" t="s">
        <v>35</v>
      </c>
      <c r="B5" s="10" t="n">
        <f aca="false">MEDIAN(Province!$E$5:$E$111)</f>
        <v>24470</v>
      </c>
    </row>
    <row r="6" customFormat="false" ht="15" hidden="false" customHeight="false" outlineLevel="0" collapsed="false">
      <c r="A6" s="8" t="s">
        <v>36</v>
      </c>
      <c r="B6" s="11" t="str">
        <f aca="false">INDEX(Province!$B$5:$B$111,MATCH(MAX(Province!$E$5:$E$111),Province!$E$5:$E$111,0))</f>
        <v>Milano</v>
      </c>
    </row>
    <row r="7" customFormat="false" ht="15" hidden="false" customHeight="false" outlineLevel="0" collapsed="false">
      <c r="A7" s="8" t="s">
        <v>37</v>
      </c>
      <c r="B7" s="11" t="str">
        <f aca="false">INDEX(Province!$B$5:$B$111,MATCH(MIN(Province!$E$5:$E$111),Province!$E$5:$E$111,0))</f>
        <v>Ragusa</v>
      </c>
    </row>
    <row r="8" customFormat="false" ht="15" hidden="false" customHeight="false" outlineLevel="0" collapsed="false">
      <c r="A8" s="8" t="s">
        <v>38</v>
      </c>
      <c r="B8" s="10" t="n">
        <f aca="false">MEDIAN(Province!$G$5:$G$111)</f>
        <v>1185</v>
      </c>
    </row>
    <row r="9" customFormat="false" ht="15" hidden="false" customHeight="false" outlineLevel="0" collapsed="false">
      <c r="A9" s="8" t="s">
        <v>39</v>
      </c>
      <c r="B9" s="11" t="str">
        <f aca="false">INDEX(Province!$B$5:$B$111,MATCH(MAX(Province!$G$5:$G$111),Province!$G$5:$G$111,0))</f>
        <v>Milano</v>
      </c>
    </row>
    <row r="10" customFormat="false" ht="15" hidden="false" customHeight="false" outlineLevel="0" collapsed="false">
      <c r="A10" s="8" t="s">
        <v>40</v>
      </c>
      <c r="B10" s="12" t="n">
        <f aca="false">MEDIAN(Province!$K$5:$K$111)</f>
        <v>3.81214480462463</v>
      </c>
    </row>
    <row r="11" customFormat="false" ht="15" hidden="false" customHeight="false" outlineLevel="0" collapsed="false">
      <c r="A11" s="8" t="s">
        <v>41</v>
      </c>
      <c r="B11" s="11" t="str">
        <f aca="false">INDEX(Province!$B$5:$B$111,MATCH(MIN(Province!$K$5:$K$111),Province!$K$5:$K$111,0))</f>
        <v>Biella</v>
      </c>
    </row>
    <row r="12" customFormat="false" ht="15" hidden="false" customHeight="false" outlineLevel="0" collapsed="false">
      <c r="A12" s="8" t="s">
        <v>42</v>
      </c>
      <c r="B12" s="11" t="str">
        <f aca="false">INDEX(Province!$B$5:$B$111,MATCH(MAX(Province!$K$5:$K$111),Province!$K$5:$K$111,0))</f>
        <v>Bolzano</v>
      </c>
    </row>
    <row r="13" customFormat="false" ht="15" hidden="false" customHeight="false" outlineLevel="0" collapsed="false">
      <c r="A13" s="8" t="s">
        <v>43</v>
      </c>
      <c r="B13" s="13" t="n">
        <f aca="false">MEDIAN(Province!$M$5:$M$111)</f>
        <v>0.0498386108273749</v>
      </c>
    </row>
    <row r="14" customFormat="false" ht="15" hidden="false" customHeight="false" outlineLevel="0" collapsed="false">
      <c r="A14" s="8" t="s">
        <v>44</v>
      </c>
      <c r="B14" s="14" t="n">
        <f aca="false">MEDIAN(Province!$N$5:$N$111)</f>
        <v>0.206327356259809</v>
      </c>
    </row>
    <row r="15" customFormat="false" ht="15" hidden="false" customHeight="false" outlineLevel="0" collapsed="false">
      <c r="A15" s="8" t="s">
        <v>45</v>
      </c>
      <c r="B15" s="15" t="n">
        <f aca="false">MEDIAN(Province!$O$5:$O$111)</f>
        <v>-0.0323555552916212</v>
      </c>
    </row>
    <row r="16" customFormat="false" ht="15" hidden="false" customHeight="false" outlineLevel="0" collapsed="false">
      <c r="A16" s="8" t="s">
        <v>46</v>
      </c>
      <c r="B16" s="14" t="n">
        <f aca="false">Andamento!F13/Andamento!F5-1</f>
        <v>0.209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4" customFormat="false" ht="15" hidden="false" customHeight="false" outlineLevel="0" collapsed="false">
      <c r="A4" s="7" t="s">
        <v>49</v>
      </c>
      <c r="B4" s="16" t="s">
        <v>50</v>
      </c>
      <c r="C4" s="16" t="s">
        <v>51</v>
      </c>
      <c r="D4" s="7" t="s">
        <v>52</v>
      </c>
    </row>
    <row r="5" customFormat="false" ht="15" hidden="false" customHeight="false" outlineLevel="0" collapsed="false">
      <c r="A5" s="4" t="s">
        <v>53</v>
      </c>
      <c r="B5" s="17" t="str">
        <f aca="false">IFERROR(INDEX(Province!$D$5:$D$111,MATCH($B$4,Province!$B$5:$B$111,0)),"")</f>
        <v>Nord</v>
      </c>
      <c r="C5" s="17" t="str">
        <f aca="false">IFERROR(INDEX(Province!$D$5:$D$111,MATCH($C$4,Province!$B$5:$B$111,0)),"")</f>
        <v>Sud</v>
      </c>
    </row>
    <row r="6" customFormat="false" ht="15" hidden="false" customHeight="false" outlineLevel="0" collapsed="false">
      <c r="A6" s="4" t="s">
        <v>54</v>
      </c>
      <c r="B6" s="18" t="n">
        <f aca="false">IFERROR(INDEX(Province!$E$5:$E$111,MATCH($B$4,Province!$B$5:$B$111,0)),"")</f>
        <v>33959</v>
      </c>
      <c r="C6" s="18" t="n">
        <f aca="false">IFERROR(INDEX(Province!$E$5:$E$111,MATCH($C$4,Province!$B$5:$B$111,0)),"")</f>
        <v>21968</v>
      </c>
      <c r="D6" s="19" t="n">
        <f aca="false">IFERROR(C6-B6,"")</f>
        <v>-11991</v>
      </c>
    </row>
    <row r="7" customFormat="false" ht="15" hidden="false" customHeight="false" outlineLevel="0" collapsed="false">
      <c r="A7" s="4" t="s">
        <v>55</v>
      </c>
      <c r="B7" s="18" t="n">
        <f aca="false">IFERROR(INDEX(Province!$G$5:$G$111,MATCH($B$4,Province!$B$5:$B$111,0)),"")</f>
        <v>3604</v>
      </c>
      <c r="C7" s="18" t="n">
        <f aca="false">IFERROR(INDEX(Province!$G$5:$G$111,MATCH($C$4,Province!$B$5:$B$111,0)),"")</f>
        <v>1698</v>
      </c>
      <c r="D7" s="19" t="n">
        <f aca="false">IFERROR(C7-B7,"")</f>
        <v>-1906</v>
      </c>
    </row>
    <row r="8" customFormat="false" ht="15" hidden="false" customHeight="false" outlineLevel="0" collapsed="false">
      <c r="A8" s="4" t="s">
        <v>56</v>
      </c>
      <c r="B8" s="18" t="n">
        <f aca="false">IFERROR(INDEX(Province!$J$5:$J$111,MATCH($B$4,Province!$B$5:$B$111,0)),"")</f>
        <v>288320</v>
      </c>
      <c r="C8" s="18" t="n">
        <f aca="false">IFERROR(INDEX(Province!$J$5:$J$111,MATCH($C$4,Province!$B$5:$B$111,0)),"")</f>
        <v>135840</v>
      </c>
    </row>
    <row r="9" customFormat="false" ht="15" hidden="false" customHeight="false" outlineLevel="0" collapsed="false">
      <c r="A9" s="4" t="s">
        <v>57</v>
      </c>
      <c r="B9" s="20" t="n">
        <f aca="false">IFERROR(INDEX(Province!$K$5:$K$111,MATCH($B$4,Province!$B$5:$B$111,0)),"")</f>
        <v>8.49023822845196</v>
      </c>
      <c r="C9" s="20" t="n">
        <f aca="false">IFERROR(INDEX(Province!$K$5:$K$111,MATCH($C$4,Province!$B$5:$B$111,0)),"")</f>
        <v>6.18353969410051</v>
      </c>
      <c r="D9" s="21" t="n">
        <f aca="false">IFERROR(C9-B9,"")</f>
        <v>-2.30669853435145</v>
      </c>
    </row>
    <row r="10" customFormat="false" ht="15" hidden="false" customHeight="false" outlineLevel="0" collapsed="false">
      <c r="A10" s="4" t="s">
        <v>58</v>
      </c>
      <c r="B10" s="22" t="n">
        <f aca="false">IFERROR(INDEX(Province!$I$5:$I$111,MATCH($B$4,Province!$B$5:$B$111,0)),"")</f>
        <v>2.018</v>
      </c>
      <c r="C10" s="22" t="n">
        <f aca="false">IFERROR(INDEX(Province!$I$5:$I$111,MATCH($C$4,Province!$B$5:$B$111,0)),"")</f>
        <v>2.053</v>
      </c>
    </row>
    <row r="11" customFormat="false" ht="15" hidden="false" customHeight="false" outlineLevel="0" collapsed="false">
      <c r="A11" s="4" t="s">
        <v>59</v>
      </c>
      <c r="B11" s="23" t="n">
        <f aca="false">IFERROR(INDEX(Province!$M$5:$M$111,MATCH($B$4,Province!$B$5:$B$111,0)),"")</f>
        <v>0.0356547601519479</v>
      </c>
      <c r="C11" s="23" t="n">
        <f aca="false">IFERROR(INDEX(Province!$M$5:$M$111,MATCH($C$4,Province!$B$5:$B$111,0)),"")</f>
        <v>0.0560724690458849</v>
      </c>
      <c r="D11" s="24" t="n">
        <f aca="false">IFERROR(C11-B11,"")</f>
        <v>0.020417708893937</v>
      </c>
    </row>
    <row r="12" customFormat="false" ht="15" hidden="false" customHeight="false" outlineLevel="0" collapsed="false">
      <c r="A12" s="4" t="s">
        <v>60</v>
      </c>
      <c r="B12" s="25" t="n">
        <f aca="false">IFERROR(INDEX(Province!$N$5:$N$111,MATCH($B$4,Province!$B$5:$B$111,0)),"")</f>
        <v>0.190332643976305</v>
      </c>
      <c r="C12" s="25" t="n">
        <f aca="false">IFERROR(INDEX(Province!$N$5:$N$111,MATCH($C$4,Province!$B$5:$B$111,0)),"")</f>
        <v>0.195602481767715</v>
      </c>
    </row>
    <row r="13" customFormat="false" ht="15" hidden="false" customHeight="false" outlineLevel="0" collapsed="false">
      <c r="A13" s="4" t="s">
        <v>61</v>
      </c>
      <c r="B13" s="25" t="n">
        <f aca="false">IFERROR(INDEX(Province!$O$5:$O$111,MATCH($B$4,Province!$B$5:$B$111,0)),"")</f>
        <v>0.27794448612153</v>
      </c>
      <c r="C13" s="25" t="n">
        <f aca="false">IFERROR(INDEX(Province!$O$5:$O$111,MATCH($C$4,Province!$B$5:$B$111,0)),"")</f>
        <v>-0.0191972076788831</v>
      </c>
    </row>
    <row r="14" customFormat="false" ht="15" hidden="false" customHeight="false" outlineLevel="0" collapsed="false">
      <c r="A14" s="4" t="s">
        <v>62</v>
      </c>
      <c r="B14" s="26" t="n">
        <f aca="false">IFERROR(INDEX(Province!$P$5:$P$111,MATCH($B$4,Province!$B$5:$B$111,0)),"")</f>
        <v>103</v>
      </c>
      <c r="C14" s="26" t="n">
        <f aca="false">IFERROR(INDEX(Province!$P$5:$P$111,MATCH($C$4,Province!$B$5:$B$111,0)),"")</f>
        <v>95</v>
      </c>
      <c r="D14" s="27" t="n">
        <f aca="false">IFERROR(C14-B14,"")</f>
        <v>-8</v>
      </c>
    </row>
  </sheetData>
  <dataValidations count="1">
    <dataValidation allowBlank="false" errorStyle="stop" operator="between" showDropDown="false" showErrorMessage="false" showInputMessage="false" sqref="B4:C4" type="list">
      <formula1>Province!$B$5:$B$111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9.7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5" hidden="false" customHeight="false" outlineLevel="0" collapsed="false">
      <c r="A4" s="7" t="s">
        <v>65</v>
      </c>
      <c r="B4" s="28" t="n">
        <v>25000</v>
      </c>
    </row>
    <row r="5" customFormat="false" ht="15" hidden="false" customHeight="false" outlineLevel="0" collapsed="false">
      <c r="A5" s="7" t="s">
        <v>66</v>
      </c>
      <c r="B5" s="29" t="n">
        <v>80</v>
      </c>
    </row>
    <row r="6" customFormat="false" ht="15" hidden="false" customHeight="false" outlineLevel="0" collapsed="false">
      <c r="A6" s="7" t="s">
        <v>67</v>
      </c>
      <c r="B6" s="30" t="n">
        <v>0.2</v>
      </c>
    </row>
    <row r="8" customFormat="false" ht="15" hidden="false" customHeight="false" outlineLevel="0" collapsed="false">
      <c r="A8" s="31" t="s">
        <v>68</v>
      </c>
    </row>
    <row r="9" customFormat="false" ht="26.85" hidden="false" customHeight="false" outlineLevel="0" collapsed="false">
      <c r="A9" s="5" t="s">
        <v>53</v>
      </c>
      <c r="B9" s="5" t="s">
        <v>69</v>
      </c>
      <c r="C9" s="5" t="s">
        <v>70</v>
      </c>
      <c r="D9" s="5" t="s">
        <v>71</v>
      </c>
    </row>
    <row r="10" customFormat="false" ht="15" hidden="false" customHeight="false" outlineLevel="0" collapsed="false">
      <c r="A10" s="7" t="s">
        <v>72</v>
      </c>
      <c r="B10" s="32" t="n">
        <f aca="false">Zone!D5*$B$5</f>
        <v>119703.829787234</v>
      </c>
      <c r="C10" s="33" t="n">
        <f aca="false">B10/$B$4</f>
        <v>4.78815319148936</v>
      </c>
      <c r="D10" s="33" t="n">
        <f aca="false">B10/($B$4*$B$6)</f>
        <v>23.9407659574468</v>
      </c>
    </row>
    <row r="11" customFormat="false" ht="15" hidden="false" customHeight="false" outlineLevel="0" collapsed="false">
      <c r="A11" s="7" t="s">
        <v>73</v>
      </c>
      <c r="B11" s="32" t="n">
        <f aca="false">Zone!D6*$B$5</f>
        <v>115429.090909091</v>
      </c>
      <c r="C11" s="33" t="n">
        <f aca="false">B11/$B$4</f>
        <v>4.61716363636364</v>
      </c>
      <c r="D11" s="33" t="n">
        <f aca="false">B11/($B$4*$B$6)</f>
        <v>23.0858181818182</v>
      </c>
    </row>
    <row r="12" customFormat="false" ht="15" hidden="false" customHeight="false" outlineLevel="0" collapsed="false">
      <c r="A12" s="7" t="s">
        <v>74</v>
      </c>
      <c r="B12" s="32" t="n">
        <f aca="false">Zone!D7*$B$5</f>
        <v>71230</v>
      </c>
      <c r="C12" s="33" t="n">
        <f aca="false">B12/$B$4</f>
        <v>2.8492</v>
      </c>
      <c r="D12" s="33" t="n">
        <f aca="false">B12/($B$4*$B$6)</f>
        <v>14.246</v>
      </c>
    </row>
    <row r="13" customFormat="false" ht="15" hidden="false" customHeight="false" outlineLevel="0" collapsed="false">
      <c r="A13" s="7" t="s">
        <v>75</v>
      </c>
      <c r="B13" s="32" t="n">
        <f aca="false">Zone!D8*$B$5</f>
        <v>73698.4615384616</v>
      </c>
      <c r="C13" s="33" t="n">
        <f aca="false">B13/$B$4</f>
        <v>2.94793846153846</v>
      </c>
      <c r="D13" s="33" t="n">
        <f aca="false">B13/($B$4*$B$6)</f>
        <v>14.7396923076923</v>
      </c>
    </row>
    <row r="15" customFormat="false" ht="15" hidden="false" customHeight="false" outlineLevel="0" collapsed="false">
      <c r="A15" s="34" t="s">
        <v>76</v>
      </c>
    </row>
    <row r="16" customFormat="false" ht="15" hidden="false" customHeight="false" outlineLevel="0" collapsed="false">
      <c r="A16" s="35" t="s">
        <v>77</v>
      </c>
      <c r="B16" s="35" t="s">
        <v>49</v>
      </c>
      <c r="C16" s="35" t="s">
        <v>78</v>
      </c>
      <c r="D16" s="35" t="s">
        <v>71</v>
      </c>
    </row>
    <row r="17" customFormat="false" ht="15" hidden="false" customHeight="false" outlineLevel="0" collapsed="false">
      <c r="A17" s="0" t="n">
        <v>1</v>
      </c>
      <c r="B17" s="0" t="str">
        <f aca="false">INDEX(Province!$B$5:$B$111,MATCH(SMALL(Province!$G$5:$G$111,A17),Province!$G$5:$G$111,0))</f>
        <v>Caltanissetta</v>
      </c>
      <c r="C17" s="32" t="n">
        <f aca="false">SMALL(Province!$G$5:$G$111,A17)*$B$5</f>
        <v>41440</v>
      </c>
      <c r="D17" s="33" t="n">
        <f aca="false">C17/($B$4*$B$6)</f>
        <v>8.288</v>
      </c>
    </row>
    <row r="18" customFormat="false" ht="15" hidden="false" customHeight="false" outlineLevel="0" collapsed="false">
      <c r="A18" s="0" t="n">
        <v>2</v>
      </c>
      <c r="B18" s="0" t="str">
        <f aca="false">INDEX(Province!$B$5:$B$111,MATCH(SMALL(Province!$G$5:$G$111,A18),Province!$G$5:$G$111,0))</f>
        <v>Isernia</v>
      </c>
      <c r="C18" s="32" t="n">
        <f aca="false">SMALL(Province!$G$5:$G$111,A18)*$B$5</f>
        <v>44880</v>
      </c>
      <c r="D18" s="33" t="n">
        <f aca="false">C18/($B$4*$B$6)</f>
        <v>8.976</v>
      </c>
    </row>
    <row r="19" customFormat="false" ht="15" hidden="false" customHeight="false" outlineLevel="0" collapsed="false">
      <c r="A19" s="0" t="n">
        <v>3</v>
      </c>
      <c r="B19" s="0" t="str">
        <f aca="false">INDEX(Province!$B$5:$B$111,MATCH(SMALL(Province!$G$5:$G$111,A19),Province!$G$5:$G$111,0))</f>
        <v>Biella</v>
      </c>
      <c r="C19" s="32" t="n">
        <f aca="false">SMALL(Province!$G$5:$G$111,A19)*$B$5</f>
        <v>45600</v>
      </c>
      <c r="D19" s="33" t="n">
        <f aca="false">C19/($B$4*$B$6)</f>
        <v>9.12</v>
      </c>
    </row>
    <row r="20" customFormat="false" ht="15" hidden="false" customHeight="false" outlineLevel="0" collapsed="false">
      <c r="A20" s="0" t="n">
        <v>4</v>
      </c>
      <c r="B20" s="0" t="str">
        <f aca="false">INDEX(Province!$B$5:$B$111,MATCH(SMALL(Province!$G$5:$G$111,A20),Province!$G$5:$G$111,0))</f>
        <v>Agrigento</v>
      </c>
      <c r="C20" s="32" t="n">
        <f aca="false">SMALL(Province!$G$5:$G$111,A20)*$B$5</f>
        <v>46480</v>
      </c>
      <c r="D20" s="33" t="n">
        <f aca="false">C20/($B$4*$B$6)</f>
        <v>9.296</v>
      </c>
    </row>
    <row r="21" customFormat="false" ht="15" hidden="false" customHeight="false" outlineLevel="0" collapsed="false">
      <c r="A21" s="0" t="n">
        <v>5</v>
      </c>
      <c r="B21" s="0" t="str">
        <f aca="false">INDEX(Province!$B$5:$B$111,MATCH(SMALL(Province!$G$5:$G$111,A21),Province!$G$5:$G$111,0))</f>
        <v>Vibo Valentia</v>
      </c>
      <c r="C21" s="32" t="n">
        <f aca="false">SMALL(Province!$G$5:$G$111,A21)*$B$5</f>
        <v>47280</v>
      </c>
      <c r="D21" s="33" t="n">
        <f aca="false">C21/($B$4*$B$6)</f>
        <v>9.456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6" min="13" style="0" width="11"/>
  </cols>
  <sheetData>
    <row r="1" customFormat="false" ht="19.7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  <c r="M2" s="36" t="s">
        <v>81</v>
      </c>
      <c r="N2" s="37" t="n">
        <v>80</v>
      </c>
      <c r="O2" s="36" t="s">
        <v>82</v>
      </c>
      <c r="P2" s="37" t="n">
        <v>50</v>
      </c>
    </row>
    <row r="4" customFormat="false" ht="45" hidden="false" customHeight="true" outlineLevel="0" collapsed="false">
      <c r="A4" s="5" t="s">
        <v>83</v>
      </c>
      <c r="B4" s="5" t="s">
        <v>49</v>
      </c>
      <c r="C4" s="5" t="s">
        <v>84</v>
      </c>
      <c r="D4" s="5" t="s">
        <v>53</v>
      </c>
      <c r="E4" s="5" t="s">
        <v>54</v>
      </c>
      <c r="F4" s="5" t="s">
        <v>85</v>
      </c>
      <c r="G4" s="5" t="s">
        <v>55</v>
      </c>
      <c r="H4" s="5" t="s">
        <v>86</v>
      </c>
      <c r="I4" s="5" t="s">
        <v>58</v>
      </c>
      <c r="J4" s="5" t="s">
        <v>87</v>
      </c>
      <c r="K4" s="5" t="s">
        <v>57</v>
      </c>
      <c r="L4" s="5" t="s">
        <v>88</v>
      </c>
      <c r="M4" s="5" t="s">
        <v>89</v>
      </c>
      <c r="N4" s="5" t="s">
        <v>60</v>
      </c>
      <c r="O4" s="5" t="s">
        <v>61</v>
      </c>
      <c r="P4" s="5" t="s">
        <v>62</v>
      </c>
    </row>
    <row r="5" customFormat="false" ht="15" hidden="false" customHeight="false" outlineLevel="0" collapsed="false">
      <c r="A5" s="8" t="s">
        <v>90</v>
      </c>
      <c r="B5" s="8" t="s">
        <v>91</v>
      </c>
      <c r="C5" s="8" t="s">
        <v>92</v>
      </c>
      <c r="D5" s="8" t="s">
        <v>75</v>
      </c>
      <c r="E5" s="38" t="n">
        <v>18162</v>
      </c>
      <c r="F5" s="38" t="n">
        <v>14386</v>
      </c>
      <c r="G5" s="38" t="n">
        <v>581</v>
      </c>
      <c r="H5" s="38" t="n">
        <v>662</v>
      </c>
      <c r="I5" s="39" t="n">
        <v>2.055</v>
      </c>
      <c r="J5" s="40" t="n">
        <f aca="false">IF(G5="","",G5*$N$2)</f>
        <v>46480</v>
      </c>
      <c r="K5" s="41" t="n">
        <f aca="false">IF(G5="","",J5/E5)</f>
        <v>2.55918951657306</v>
      </c>
      <c r="L5" s="42" t="n">
        <f aca="false">I5*$P$2</f>
        <v>102.75</v>
      </c>
      <c r="M5" s="43" t="n">
        <f aca="false">L5/(E5/12)</f>
        <v>0.0678889990089197</v>
      </c>
      <c r="N5" s="44" t="n">
        <f aca="false">IF(F5="","",E5/F5-1)</f>
        <v>0.262477408591686</v>
      </c>
      <c r="O5" s="44" t="n">
        <f aca="false">IFERROR(SUMIFS(Dati_Case!$E$2:$E$1061,Dati_Case!$B$2:$B$1061,A5,Dati_Case!$A$2:$A$1061,2024)/H5-1,"")</f>
        <v>-0.129909365558912</v>
      </c>
      <c r="P5" s="45" t="n">
        <f aca="false">IF(K5="","",RANK(K5,$K$5:$K$111,1))</f>
        <v>7</v>
      </c>
    </row>
    <row r="6" customFormat="false" ht="15" hidden="false" customHeight="false" outlineLevel="0" collapsed="false">
      <c r="A6" s="8" t="s">
        <v>93</v>
      </c>
      <c r="B6" s="8" t="s">
        <v>94</v>
      </c>
      <c r="C6" s="8" t="s">
        <v>95</v>
      </c>
      <c r="D6" s="8" t="s">
        <v>72</v>
      </c>
      <c r="E6" s="38" t="n">
        <v>25157</v>
      </c>
      <c r="F6" s="38" t="n">
        <v>21243</v>
      </c>
      <c r="G6" s="38" t="n">
        <v>756</v>
      </c>
      <c r="H6" s="38" t="n">
        <v>894</v>
      </c>
      <c r="I6" s="39" t="n">
        <v>2.023</v>
      </c>
      <c r="J6" s="40" t="n">
        <f aca="false">IF(G6="","",G6*$N$2)</f>
        <v>60480</v>
      </c>
      <c r="K6" s="41" t="n">
        <f aca="false">IF(G6="","",J6/E6)</f>
        <v>2.4041022379457</v>
      </c>
      <c r="L6" s="42" t="n">
        <f aca="false">I6*$P$2</f>
        <v>101.15</v>
      </c>
      <c r="M6" s="43" t="n">
        <f aca="false">L6/(E6/12)</f>
        <v>0.0482489963032158</v>
      </c>
      <c r="N6" s="44" t="n">
        <f aca="false">IF(F6="","",E6/F6-1)</f>
        <v>0.184248929058984</v>
      </c>
      <c r="O6" s="44" t="n">
        <f aca="false">IFERROR(SUMIFS(Dati_Case!$E$2:$E$1061,Dati_Case!$B$2:$B$1061,A6,Dati_Case!$A$2:$A$1061,2024)/H6-1,"")</f>
        <v>-0.136465324384787</v>
      </c>
      <c r="P6" s="45" t="n">
        <f aca="false">IF(K6="","",RANK(K6,$K$5:$K$111,1))</f>
        <v>5</v>
      </c>
    </row>
    <row r="7" customFormat="false" ht="15" hidden="false" customHeight="false" outlineLevel="0" collapsed="false">
      <c r="A7" s="8" t="s">
        <v>96</v>
      </c>
      <c r="B7" s="8" t="s">
        <v>97</v>
      </c>
      <c r="C7" s="8" t="s">
        <v>98</v>
      </c>
      <c r="D7" s="8" t="s">
        <v>73</v>
      </c>
      <c r="E7" s="38" t="n">
        <v>24788</v>
      </c>
      <c r="F7" s="38" t="n">
        <v>21104</v>
      </c>
      <c r="G7" s="38" t="n">
        <v>1123</v>
      </c>
      <c r="H7" s="38" t="n">
        <v>1245</v>
      </c>
      <c r="I7" s="39" t="n">
        <v>2.022</v>
      </c>
      <c r="J7" s="40" t="n">
        <f aca="false">IF(G7="","",G7*$N$2)</f>
        <v>89840</v>
      </c>
      <c r="K7" s="41" t="n">
        <f aca="false">IF(G7="","",J7/E7)</f>
        <v>3.62433435533323</v>
      </c>
      <c r="L7" s="42" t="n">
        <f aca="false">I7*$P$2</f>
        <v>101.1</v>
      </c>
      <c r="M7" s="43" t="n">
        <f aca="false">L7/(E7/12)</f>
        <v>0.0489430369533645</v>
      </c>
      <c r="N7" s="44" t="n">
        <f aca="false">IF(F7="","",E7/F7-1)</f>
        <v>0.17456406368461</v>
      </c>
      <c r="O7" s="44" t="n">
        <f aca="false">IFERROR(SUMIFS(Dati_Case!$E$2:$E$1061,Dati_Case!$B$2:$B$1061,A7,Dati_Case!$A$2:$A$1061,2024)/H7-1,"")</f>
        <v>-0.104417670682731</v>
      </c>
      <c r="P7" s="45" t="n">
        <f aca="false">IF(K7="","",RANK(K7,$K$5:$K$111,1))</f>
        <v>47</v>
      </c>
    </row>
    <row r="8" customFormat="false" ht="15" hidden="false" customHeight="false" outlineLevel="0" collapsed="false">
      <c r="A8" s="8" t="s">
        <v>99</v>
      </c>
      <c r="B8" s="8" t="s">
        <v>100</v>
      </c>
      <c r="C8" s="8" t="s">
        <v>101</v>
      </c>
      <c r="D8" s="8" t="s">
        <v>72</v>
      </c>
      <c r="E8" s="38" t="n">
        <v>26873</v>
      </c>
      <c r="F8" s="38" t="n">
        <v>22285</v>
      </c>
      <c r="G8" s="38" t="n">
        <v>1903</v>
      </c>
      <c r="H8" s="38" t="n">
        <v>1852</v>
      </c>
      <c r="I8" s="39" t="n">
        <v>2.033</v>
      </c>
      <c r="J8" s="40" t="n">
        <f aca="false">IF(G8="","",G8*$N$2)</f>
        <v>152240</v>
      </c>
      <c r="K8" s="41" t="n">
        <f aca="false">IF(G8="","",J8/E8)</f>
        <v>5.66516577977896</v>
      </c>
      <c r="L8" s="42" t="n">
        <f aca="false">I8*$P$2</f>
        <v>101.65</v>
      </c>
      <c r="M8" s="43" t="n">
        <f aca="false">L8/(E8/12)</f>
        <v>0.0453912849328322</v>
      </c>
      <c r="N8" s="44" t="n">
        <f aca="false">IF(F8="","",E8/F8-1)</f>
        <v>0.205878393538254</v>
      </c>
      <c r="O8" s="44" t="n">
        <f aca="false">IFERROR(SUMIFS(Dati_Case!$E$2:$E$1061,Dati_Case!$B$2:$B$1061,A8,Dati_Case!$A$2:$A$1061,2024)/H8-1,"")</f>
        <v>0.0237580993520519</v>
      </c>
      <c r="P8" s="45" t="n">
        <f aca="false">IF(K8="","",RANK(K8,$K$5:$K$111,1))</f>
        <v>89</v>
      </c>
    </row>
    <row r="9" customFormat="false" ht="15" hidden="false" customHeight="false" outlineLevel="0" collapsed="false">
      <c r="A9" s="8" t="s">
        <v>102</v>
      </c>
      <c r="B9" s="8" t="s">
        <v>103</v>
      </c>
      <c r="C9" s="8" t="s">
        <v>104</v>
      </c>
      <c r="D9" s="8" t="s">
        <v>73</v>
      </c>
      <c r="E9" s="38" t="n">
        <v>24475</v>
      </c>
      <c r="F9" s="38" t="n">
        <v>20354</v>
      </c>
      <c r="G9" s="38" t="n">
        <v>1340</v>
      </c>
      <c r="H9" s="38" t="n">
        <v>1322</v>
      </c>
      <c r="I9" s="39" t="n">
        <v>2.033</v>
      </c>
      <c r="J9" s="40" t="n">
        <f aca="false">IF(G9="","",G9*$N$2)</f>
        <v>107200</v>
      </c>
      <c r="K9" s="41" t="n">
        <f aca="false">IF(G9="","",J9/E9)</f>
        <v>4.37997957099081</v>
      </c>
      <c r="L9" s="42" t="n">
        <f aca="false">I9*$P$2</f>
        <v>101.65</v>
      </c>
      <c r="M9" s="43" t="n">
        <f aca="false">L9/(E9/12)</f>
        <v>0.0498386108273749</v>
      </c>
      <c r="N9" s="44" t="n">
        <f aca="false">IF(F9="","",E9/F9-1)</f>
        <v>0.202466345681439</v>
      </c>
      <c r="O9" s="44" t="n">
        <f aca="false">IFERROR(SUMIFS(Dati_Case!$E$2:$E$1061,Dati_Case!$B$2:$B$1061,A9,Dati_Case!$A$2:$A$1061,2024)/H9-1,"")</f>
        <v>0.00378214826021184</v>
      </c>
      <c r="P9" s="45" t="n">
        <f aca="false">IF(K9="","",RANK(K9,$K$5:$K$111,1))</f>
        <v>65</v>
      </c>
    </row>
    <row r="10" customFormat="false" ht="15" hidden="false" customHeight="false" outlineLevel="0" collapsed="false">
      <c r="A10" s="8" t="s">
        <v>105</v>
      </c>
      <c r="B10" s="8" t="s">
        <v>106</v>
      </c>
      <c r="C10" s="8" t="s">
        <v>98</v>
      </c>
      <c r="D10" s="8" t="s">
        <v>73</v>
      </c>
      <c r="E10" s="38" t="n">
        <v>23404</v>
      </c>
      <c r="F10" s="38" t="n">
        <v>18497</v>
      </c>
      <c r="G10" s="38" t="n">
        <v>1499</v>
      </c>
      <c r="H10" s="38" t="n">
        <v>1376</v>
      </c>
      <c r="I10" s="39" t="n">
        <v>2.037</v>
      </c>
      <c r="J10" s="40" t="n">
        <f aca="false">IF(G10="","",G10*$N$2)</f>
        <v>119920</v>
      </c>
      <c r="K10" s="41" t="n">
        <f aca="false">IF(G10="","",J10/E10)</f>
        <v>5.12391044265937</v>
      </c>
      <c r="L10" s="42" t="n">
        <f aca="false">I10*$P$2</f>
        <v>101.85</v>
      </c>
      <c r="M10" s="43" t="n">
        <f aca="false">L10/(E10/12)</f>
        <v>0.0522218424200991</v>
      </c>
      <c r="N10" s="44" t="n">
        <f aca="false">IF(F10="","",E10/F10-1)</f>
        <v>0.265286262637184</v>
      </c>
      <c r="O10" s="44" t="n">
        <f aca="false">IFERROR(SUMIFS(Dati_Case!$E$2:$E$1061,Dati_Case!$B$2:$B$1061,A10,Dati_Case!$A$2:$A$1061,2024)/H10-1,"")</f>
        <v>0.0741279069767442</v>
      </c>
      <c r="P10" s="45" t="n">
        <f aca="false">IF(K10="","",RANK(K10,$K$5:$K$111,1))</f>
        <v>82</v>
      </c>
    </row>
    <row r="11" customFormat="false" ht="15" hidden="false" customHeight="false" outlineLevel="0" collapsed="false">
      <c r="A11" s="8" t="s">
        <v>107</v>
      </c>
      <c r="B11" s="8" t="s">
        <v>108</v>
      </c>
      <c r="C11" s="8" t="s">
        <v>95</v>
      </c>
      <c r="D11" s="8" t="s">
        <v>72</v>
      </c>
      <c r="E11" s="38" t="n">
        <v>24299</v>
      </c>
      <c r="F11" s="38" t="n">
        <v>20415</v>
      </c>
      <c r="G11" s="38" t="n">
        <v>690</v>
      </c>
      <c r="H11" s="38" t="n">
        <v>789</v>
      </c>
      <c r="I11" s="39" t="n">
        <v>2.022</v>
      </c>
      <c r="J11" s="40" t="n">
        <f aca="false">IF(G11="","",G11*$N$2)</f>
        <v>55200</v>
      </c>
      <c r="K11" s="41" t="n">
        <f aca="false">IF(G11="","",J11/E11)</f>
        <v>2.27169842380345</v>
      </c>
      <c r="L11" s="42" t="n">
        <f aca="false">I11*$P$2</f>
        <v>101.1</v>
      </c>
      <c r="M11" s="43" t="n">
        <f aca="false">L11/(E11/12)</f>
        <v>0.0499279805753323</v>
      </c>
      <c r="N11" s="44" t="n">
        <f aca="false">IF(F11="","",E11/F11-1)</f>
        <v>0.190252265491061</v>
      </c>
      <c r="O11" s="44" t="n">
        <f aca="false">IFERROR(SUMIFS(Dati_Case!$E$2:$E$1061,Dati_Case!$B$2:$B$1061,A11,Dati_Case!$A$2:$A$1061,2024)/H11-1,"")</f>
        <v>-0.122940430925222</v>
      </c>
      <c r="P11" s="45" t="n">
        <f aca="false">IF(K11="","",RANK(K11,$K$5:$K$111,1))</f>
        <v>4</v>
      </c>
    </row>
    <row r="12" customFormat="false" ht="15" hidden="false" customHeight="false" outlineLevel="0" collapsed="false">
      <c r="A12" s="8" t="s">
        <v>109</v>
      </c>
      <c r="B12" s="8" t="s">
        <v>110</v>
      </c>
      <c r="C12" s="8" t="s">
        <v>111</v>
      </c>
      <c r="D12" s="8" t="s">
        <v>74</v>
      </c>
      <c r="E12" s="38" t="n">
        <v>19885</v>
      </c>
      <c r="F12" s="38" t="n">
        <v>16030</v>
      </c>
      <c r="G12" s="38" t="n">
        <v>713</v>
      </c>
      <c r="H12" s="38" t="n">
        <v>761</v>
      </c>
      <c r="I12" s="39" t="n">
        <v>2.072</v>
      </c>
      <c r="J12" s="40" t="n">
        <f aca="false">IF(G12="","",G12*$N$2)</f>
        <v>57040</v>
      </c>
      <c r="K12" s="41" t="n">
        <f aca="false">IF(G12="","",J12/E12)</f>
        <v>2.86849383957757</v>
      </c>
      <c r="L12" s="42" t="n">
        <f aca="false">I12*$P$2</f>
        <v>103.6</v>
      </c>
      <c r="M12" s="43" t="n">
        <f aca="false">L12/(E12/12)</f>
        <v>0.0625194870505406</v>
      </c>
      <c r="N12" s="44" t="n">
        <f aca="false">IF(F12="","",E12/F12-1)</f>
        <v>0.24048658764816</v>
      </c>
      <c r="O12" s="44" t="n">
        <f aca="false">IFERROR(SUMIFS(Dati_Case!$E$2:$E$1061,Dati_Case!$B$2:$B$1061,A12,Dati_Case!$A$2:$A$1061,2024)/H12-1,"")</f>
        <v>-0.0591327201051248</v>
      </c>
      <c r="P12" s="45" t="n">
        <f aca="false">IF(K12="","",RANK(K12,$K$5:$K$111,1))</f>
        <v>17</v>
      </c>
    </row>
    <row r="13" customFormat="false" ht="15" hidden="false" customHeight="false" outlineLevel="0" collapsed="false">
      <c r="A13" s="8" t="s">
        <v>112</v>
      </c>
      <c r="B13" s="8" t="s">
        <v>113</v>
      </c>
      <c r="C13" s="8" t="s">
        <v>114</v>
      </c>
      <c r="D13" s="8" t="s">
        <v>74</v>
      </c>
      <c r="E13" s="38" t="n">
        <v>21920</v>
      </c>
      <c r="F13" s="38" t="n">
        <v>17752</v>
      </c>
      <c r="G13" s="38" t="n">
        <v>1306</v>
      </c>
      <c r="H13" s="38" t="n">
        <v>1326</v>
      </c>
      <c r="I13" s="39" t="n">
        <v>2.021</v>
      </c>
      <c r="J13" s="40" t="n">
        <f aca="false">IF(G13="","",G13*$N$2)</f>
        <v>104480</v>
      </c>
      <c r="K13" s="41" t="n">
        <f aca="false">IF(G13="","",J13/E13)</f>
        <v>4.76642335766423</v>
      </c>
      <c r="L13" s="42" t="n">
        <f aca="false">I13*$P$2</f>
        <v>101.05</v>
      </c>
      <c r="M13" s="43" t="n">
        <f aca="false">L13/(E13/12)</f>
        <v>0.0553193430656934</v>
      </c>
      <c r="N13" s="44" t="n">
        <f aca="false">IF(F13="","",E13/F13-1)</f>
        <v>0.234790446146913</v>
      </c>
      <c r="O13" s="44" t="n">
        <f aca="false">IFERROR(SUMIFS(Dati_Case!$E$2:$E$1061,Dati_Case!$B$2:$B$1061,A13,Dati_Case!$A$2:$A$1061,2024)/H13-1,"")</f>
        <v>-0.0150829562594268</v>
      </c>
      <c r="P13" s="45" t="n">
        <f aca="false">IF(K13="","",RANK(K13,$K$5:$K$111,1))</f>
        <v>77</v>
      </c>
    </row>
    <row r="14" customFormat="false" ht="15" hidden="false" customHeight="false" outlineLevel="0" collapsed="false">
      <c r="A14" s="8" t="s">
        <v>115</v>
      </c>
      <c r="B14" s="8" t="s">
        <v>116</v>
      </c>
      <c r="C14" s="8" t="s">
        <v>114</v>
      </c>
      <c r="D14" s="8" t="s">
        <v>74</v>
      </c>
      <c r="E14" s="38" t="n">
        <v>18139</v>
      </c>
      <c r="F14" s="38" t="n">
        <v>14930</v>
      </c>
      <c r="G14" s="38" t="n">
        <v>1217</v>
      </c>
      <c r="H14" s="38"/>
      <c r="I14" s="39" t="n">
        <v>2.031</v>
      </c>
      <c r="J14" s="40" t="n">
        <f aca="false">IF(G14="","",G14*$N$2)</f>
        <v>97360</v>
      </c>
      <c r="K14" s="41" t="n">
        <f aca="false">IF(G14="","",J14/E14)</f>
        <v>5.36744032195821</v>
      </c>
      <c r="L14" s="42" t="n">
        <f aca="false">I14*$P$2</f>
        <v>101.55</v>
      </c>
      <c r="M14" s="43" t="n">
        <f aca="false">L14/(E14/12)</f>
        <v>0.0671812117536799</v>
      </c>
      <c r="N14" s="44" t="n">
        <f aca="false">IF(F14="","",E14/F14-1)</f>
        <v>0.214936369725385</v>
      </c>
      <c r="O14" s="44" t="str">
        <f aca="false">IFERROR(SUMIFS(Dati_Case!$E$2:$E$1061,Dati_Case!$B$2:$B$1061,A14,Dati_Case!$A$2:$A$1061,2024)/H14-1,"")</f>
        <v/>
      </c>
      <c r="P14" s="45" t="n">
        <f aca="false">IF(K14="","",RANK(K14,$K$5:$K$111,1))</f>
        <v>87</v>
      </c>
    </row>
    <row r="15" customFormat="false" ht="15" hidden="false" customHeight="false" outlineLevel="0" collapsed="false">
      <c r="A15" s="8" t="s">
        <v>117</v>
      </c>
      <c r="B15" s="8" t="s">
        <v>118</v>
      </c>
      <c r="C15" s="8" t="s">
        <v>119</v>
      </c>
      <c r="D15" s="8" t="s">
        <v>72</v>
      </c>
      <c r="E15" s="38" t="n">
        <v>25439</v>
      </c>
      <c r="F15" s="38" t="n">
        <v>21132</v>
      </c>
      <c r="G15" s="38" t="n">
        <v>1102</v>
      </c>
      <c r="H15" s="38" t="n">
        <v>1464</v>
      </c>
      <c r="I15" s="39" t="n">
        <v>2.04</v>
      </c>
      <c r="J15" s="40" t="n">
        <f aca="false">IF(G15="","",G15*$N$2)</f>
        <v>88160</v>
      </c>
      <c r="K15" s="41" t="n">
        <f aca="false">IF(G15="","",J15/E15)</f>
        <v>3.46554502928574</v>
      </c>
      <c r="L15" s="42" t="n">
        <f aca="false">I15*$P$2</f>
        <v>102</v>
      </c>
      <c r="M15" s="43" t="n">
        <f aca="false">L15/(E15/12)</f>
        <v>0.0481150988639491</v>
      </c>
      <c r="N15" s="44" t="n">
        <f aca="false">IF(F15="","",E15/F15-1)</f>
        <v>0.203814120764717</v>
      </c>
      <c r="O15" s="44" t="n">
        <f aca="false">IFERROR(SUMIFS(Dati_Case!$E$2:$E$1061,Dati_Case!$B$2:$B$1061,A15,Dati_Case!$A$2:$A$1061,2024)/H15-1,"")</f>
        <v>-0.256830601092896</v>
      </c>
      <c r="P15" s="45" t="n">
        <f aca="false">IF(K15="","",RANK(K15,$K$5:$K$111,1))</f>
        <v>42</v>
      </c>
    </row>
    <row r="16" customFormat="false" ht="15" hidden="false" customHeight="false" outlineLevel="0" collapsed="false">
      <c r="A16" s="8" t="s">
        <v>120</v>
      </c>
      <c r="B16" s="8" t="s">
        <v>121</v>
      </c>
      <c r="C16" s="8" t="s">
        <v>111</v>
      </c>
      <c r="D16" s="8" t="s">
        <v>74</v>
      </c>
      <c r="E16" s="38" t="n">
        <v>19327</v>
      </c>
      <c r="F16" s="38" t="n">
        <v>15452</v>
      </c>
      <c r="G16" s="38" t="n">
        <v>795</v>
      </c>
      <c r="H16" s="38" t="n">
        <v>1187</v>
      </c>
      <c r="I16" s="39" t="n">
        <v>2.065</v>
      </c>
      <c r="J16" s="40" t="n">
        <f aca="false">IF(G16="","",G16*$N$2)</f>
        <v>63600</v>
      </c>
      <c r="K16" s="41" t="n">
        <f aca="false">IF(G16="","",J16/E16)</f>
        <v>3.29073317121126</v>
      </c>
      <c r="L16" s="42" t="n">
        <f aca="false">I16*$P$2</f>
        <v>103.25</v>
      </c>
      <c r="M16" s="43" t="n">
        <f aca="false">L16/(E16/12)</f>
        <v>0.0641072075335024</v>
      </c>
      <c r="N16" s="44" t="n">
        <f aca="false">IF(F16="","",E16/F16-1)</f>
        <v>0.250776598498576</v>
      </c>
      <c r="O16" s="44" t="n">
        <f aca="false">IFERROR(SUMIFS(Dati_Case!$E$2:$E$1061,Dati_Case!$B$2:$B$1061,A16,Dati_Case!$A$2:$A$1061,2024)/H16-1,"")</f>
        <v>-0.315080033698399</v>
      </c>
      <c r="P16" s="45" t="n">
        <f aca="false">IF(K16="","",RANK(K16,$K$5:$K$111,1))</f>
        <v>36</v>
      </c>
    </row>
    <row r="17" customFormat="false" ht="15" hidden="false" customHeight="false" outlineLevel="0" collapsed="false">
      <c r="A17" s="8" t="s">
        <v>122</v>
      </c>
      <c r="B17" s="8" t="s">
        <v>123</v>
      </c>
      <c r="C17" s="8" t="s">
        <v>124</v>
      </c>
      <c r="D17" s="8" t="s">
        <v>72</v>
      </c>
      <c r="E17" s="38" t="n">
        <v>27399</v>
      </c>
      <c r="F17" s="38" t="n">
        <v>22942</v>
      </c>
      <c r="G17" s="38" t="n">
        <v>1264</v>
      </c>
      <c r="H17" s="38" t="n">
        <v>1210</v>
      </c>
      <c r="I17" s="39" t="n">
        <v>2.028</v>
      </c>
      <c r="J17" s="40" t="n">
        <f aca="false">IF(G17="","",G17*$N$2)</f>
        <v>101120</v>
      </c>
      <c r="K17" s="41" t="n">
        <f aca="false">IF(G17="","",J17/E17)</f>
        <v>3.69064564400161</v>
      </c>
      <c r="L17" s="42" t="n">
        <f aca="false">I17*$P$2</f>
        <v>101.4</v>
      </c>
      <c r="M17" s="43" t="n">
        <f aca="false">L17/(E17/12)</f>
        <v>0.0444103799408738</v>
      </c>
      <c r="N17" s="44" t="n">
        <f aca="false">IF(F17="","",E17/F17-1)</f>
        <v>0.194272513294395</v>
      </c>
      <c r="O17" s="44" t="n">
        <f aca="false">IFERROR(SUMIFS(Dati_Case!$E$2:$E$1061,Dati_Case!$B$2:$B$1061,A17,Dati_Case!$A$2:$A$1061,2024)/H17-1,"")</f>
        <v>0.0371900826446281</v>
      </c>
      <c r="P17" s="45" t="n">
        <f aca="false">IF(K17="","",RANK(K17,$K$5:$K$111,1))</f>
        <v>50</v>
      </c>
    </row>
    <row r="18" customFormat="false" ht="15" hidden="false" customHeight="false" outlineLevel="0" collapsed="false">
      <c r="A18" s="8" t="s">
        <v>125</v>
      </c>
      <c r="B18" s="8" t="s">
        <v>126</v>
      </c>
      <c r="C18" s="8" t="s">
        <v>95</v>
      </c>
      <c r="D18" s="8" t="s">
        <v>72</v>
      </c>
      <c r="E18" s="38" t="n">
        <v>25135</v>
      </c>
      <c r="F18" s="38" t="n">
        <v>21524</v>
      </c>
      <c r="G18" s="38" t="n">
        <v>570</v>
      </c>
      <c r="H18" s="38" t="n">
        <v>658</v>
      </c>
      <c r="I18" s="39" t="n">
        <v>2.025</v>
      </c>
      <c r="J18" s="40" t="n">
        <f aca="false">IF(G18="","",G18*$N$2)</f>
        <v>45600</v>
      </c>
      <c r="K18" s="41" t="n">
        <f aca="false">IF(G18="","",J18/E18)</f>
        <v>1.81420330216829</v>
      </c>
      <c r="L18" s="42" t="n">
        <f aca="false">I18*$P$2</f>
        <v>101.25</v>
      </c>
      <c r="M18" s="43" t="n">
        <f aca="false">L18/(E18/12)</f>
        <v>0.0483389695643525</v>
      </c>
      <c r="N18" s="44" t="n">
        <f aca="false">IF(F18="","",E18/F18-1)</f>
        <v>0.167766214458279</v>
      </c>
      <c r="O18" s="44" t="n">
        <f aca="false">IFERROR(SUMIFS(Dati_Case!$E$2:$E$1061,Dati_Case!$B$2:$B$1061,A18,Dati_Case!$A$2:$A$1061,2024)/H18-1,"")</f>
        <v>-0.132218844984802</v>
      </c>
      <c r="P18" s="45" t="n">
        <f aca="false">IF(K18="","",RANK(K18,$K$5:$K$111,1))</f>
        <v>1</v>
      </c>
    </row>
    <row r="19" customFormat="false" ht="15" hidden="false" customHeight="false" outlineLevel="0" collapsed="false">
      <c r="A19" s="8" t="s">
        <v>127</v>
      </c>
      <c r="B19" s="8" t="s">
        <v>128</v>
      </c>
      <c r="C19" s="8" t="s">
        <v>129</v>
      </c>
      <c r="D19" s="8" t="s">
        <v>72</v>
      </c>
      <c r="E19" s="38" t="n">
        <v>29784</v>
      </c>
      <c r="F19" s="38" t="n">
        <v>25526</v>
      </c>
      <c r="G19" s="38" t="n">
        <v>2222</v>
      </c>
      <c r="H19" s="38" t="n">
        <v>2080</v>
      </c>
      <c r="I19" s="39" t="n">
        <v>2.032</v>
      </c>
      <c r="J19" s="40" t="n">
        <f aca="false">IF(G19="","",G19*$N$2)</f>
        <v>177760</v>
      </c>
      <c r="K19" s="41" t="n">
        <f aca="false">IF(G19="","",J19/E19)</f>
        <v>5.96830513027129</v>
      </c>
      <c r="L19" s="42" t="n">
        <f aca="false">I19*$P$2</f>
        <v>101.6</v>
      </c>
      <c r="M19" s="43" t="n">
        <f aca="false">L19/(E19/12)</f>
        <v>0.0409347300564061</v>
      </c>
      <c r="N19" s="44" t="n">
        <f aca="false">IF(F19="","",E19/F19-1)</f>
        <v>0.166810311055394</v>
      </c>
      <c r="O19" s="44" t="n">
        <f aca="false">IFERROR(SUMIFS(Dati_Case!$E$2:$E$1061,Dati_Case!$B$2:$B$1061,A19,Dati_Case!$A$2:$A$1061,2024)/H19-1,"")</f>
        <v>0.0413461538461539</v>
      </c>
      <c r="P19" s="45" t="n">
        <f aca="false">IF(K19="","",RANK(K19,$K$5:$K$111,1))</f>
        <v>93</v>
      </c>
    </row>
    <row r="20" customFormat="false" ht="15" hidden="false" customHeight="false" outlineLevel="0" collapsed="false">
      <c r="A20" s="8" t="s">
        <v>130</v>
      </c>
      <c r="B20" s="8" t="s">
        <v>131</v>
      </c>
      <c r="C20" s="8" t="s">
        <v>132</v>
      </c>
      <c r="D20" s="8" t="s">
        <v>72</v>
      </c>
      <c r="E20" s="38" t="n">
        <v>28351</v>
      </c>
      <c r="F20" s="38" t="n">
        <v>23505</v>
      </c>
      <c r="G20" s="38" t="n">
        <v>3249</v>
      </c>
      <c r="H20" s="38" t="n">
        <v>2810</v>
      </c>
      <c r="I20" s="39" t="n">
        <v>2.059</v>
      </c>
      <c r="J20" s="40" t="n">
        <f aca="false">IF(G20="","",G20*$N$2)</f>
        <v>259920</v>
      </c>
      <c r="K20" s="41" t="n">
        <f aca="false">IF(G20="","",J20/E20)</f>
        <v>9.1679305844591</v>
      </c>
      <c r="L20" s="42" t="n">
        <f aca="false">I20*$P$2</f>
        <v>102.95</v>
      </c>
      <c r="M20" s="43" t="n">
        <f aca="false">L20/(E20/12)</f>
        <v>0.043575182533244</v>
      </c>
      <c r="N20" s="44" t="n">
        <f aca="false">IF(F20="","",E20/F20-1)</f>
        <v>0.206168900233993</v>
      </c>
      <c r="O20" s="44" t="n">
        <f aca="false">IFERROR(SUMIFS(Dati_Case!$E$2:$E$1061,Dati_Case!$B$2:$B$1061,A20,Dati_Case!$A$2:$A$1061,2024)/H20-1,"")</f>
        <v>0.115302491103203</v>
      </c>
      <c r="P20" s="45" t="n">
        <f aca="false">IF(K20="","",RANK(K20,$K$5:$K$111,1))</f>
        <v>106</v>
      </c>
    </row>
    <row r="21" customFormat="false" ht="15" hidden="false" customHeight="false" outlineLevel="0" collapsed="false">
      <c r="A21" s="8" t="s">
        <v>133</v>
      </c>
      <c r="B21" s="8" t="s">
        <v>134</v>
      </c>
      <c r="C21" s="8" t="s">
        <v>124</v>
      </c>
      <c r="D21" s="8" t="s">
        <v>72</v>
      </c>
      <c r="E21" s="38" t="n">
        <v>26559</v>
      </c>
      <c r="F21" s="38" t="n">
        <v>22027</v>
      </c>
      <c r="G21" s="38" t="n">
        <v>1548</v>
      </c>
      <c r="H21" s="38" t="n">
        <v>1532</v>
      </c>
      <c r="I21" s="39" t="n">
        <v>2.035</v>
      </c>
      <c r="J21" s="40" t="n">
        <f aca="false">IF(G21="","",G21*$N$2)</f>
        <v>123840</v>
      </c>
      <c r="K21" s="41" t="n">
        <f aca="false">IF(G21="","",J21/E21)</f>
        <v>4.66282616062352</v>
      </c>
      <c r="L21" s="42" t="n">
        <f aca="false">I21*$P$2</f>
        <v>101.75</v>
      </c>
      <c r="M21" s="43" t="n">
        <f aca="false">L21/(E21/12)</f>
        <v>0.045973116457698</v>
      </c>
      <c r="N21" s="44" t="n">
        <f aca="false">IF(F21="","",E21/F21-1)</f>
        <v>0.205747491714714</v>
      </c>
      <c r="O21" s="44" t="n">
        <f aca="false">IFERROR(SUMIFS(Dati_Case!$E$2:$E$1061,Dati_Case!$B$2:$B$1061,A21,Dati_Case!$A$2:$A$1061,2024)/H21-1,"")</f>
        <v>-0.00587467362924277</v>
      </c>
      <c r="P21" s="45" t="n">
        <f aca="false">IF(K21="","",RANK(K21,$K$5:$K$111,1))</f>
        <v>73</v>
      </c>
    </row>
    <row r="22" customFormat="false" ht="15" hidden="false" customHeight="false" outlineLevel="0" collapsed="false">
      <c r="A22" s="8" t="s">
        <v>135</v>
      </c>
      <c r="B22" s="8" t="s">
        <v>136</v>
      </c>
      <c r="C22" s="8" t="s">
        <v>114</v>
      </c>
      <c r="D22" s="8" t="s">
        <v>74</v>
      </c>
      <c r="E22" s="38" t="n">
        <v>19504</v>
      </c>
      <c r="F22" s="38" t="n">
        <v>15929</v>
      </c>
      <c r="G22" s="38" t="n">
        <v>1074</v>
      </c>
      <c r="H22" s="38" t="n">
        <v>797</v>
      </c>
      <c r="I22" s="39" t="n">
        <v>2.051</v>
      </c>
      <c r="J22" s="40" t="n">
        <f aca="false">IF(G22="","",G22*$N$2)</f>
        <v>85920</v>
      </c>
      <c r="K22" s="41" t="n">
        <f aca="false">IF(G22="","",J22/E22)</f>
        <v>4.40525020508614</v>
      </c>
      <c r="L22" s="42" t="n">
        <f aca="false">I22*$P$2</f>
        <v>102.55</v>
      </c>
      <c r="M22" s="43" t="n">
        <f aca="false">L22/(E22/12)</f>
        <v>0.0630947497949139</v>
      </c>
      <c r="N22" s="44" t="n">
        <f aca="false">IF(F22="","",E22/F22-1)</f>
        <v>0.224433423315965</v>
      </c>
      <c r="O22" s="44" t="n">
        <f aca="false">IFERROR(SUMIFS(Dati_Case!$E$2:$E$1061,Dati_Case!$B$2:$B$1061,A22,Dati_Case!$A$2:$A$1061,2024)/H22-1,"")</f>
        <v>0.307402760351317</v>
      </c>
      <c r="P22" s="45" t="n">
        <f aca="false">IF(K22="","",RANK(K22,$K$5:$K$111,1))</f>
        <v>66</v>
      </c>
    </row>
    <row r="23" customFormat="false" ht="15" hidden="false" customHeight="false" outlineLevel="0" collapsed="false">
      <c r="A23" s="8" t="s">
        <v>137</v>
      </c>
      <c r="B23" s="8" t="s">
        <v>138</v>
      </c>
      <c r="C23" s="8" t="s">
        <v>139</v>
      </c>
      <c r="D23" s="8" t="s">
        <v>75</v>
      </c>
      <c r="E23" s="38" t="n">
        <v>25319</v>
      </c>
      <c r="F23" s="38"/>
      <c r="G23" s="38" t="n">
        <v>1336</v>
      </c>
      <c r="H23" s="38" t="n">
        <v>1294</v>
      </c>
      <c r="I23" s="39" t="n">
        <v>2.014</v>
      </c>
      <c r="J23" s="40" t="n">
        <f aca="false">IF(G23="","",G23*$N$2)</f>
        <v>106880</v>
      </c>
      <c r="K23" s="41" t="n">
        <f aca="false">IF(G23="","",J23/E23)</f>
        <v>4.22133575575655</v>
      </c>
      <c r="L23" s="42" t="n">
        <f aca="false">I23*$P$2</f>
        <v>100.7</v>
      </c>
      <c r="M23" s="43" t="n">
        <f aca="false">L23/(E23/12)</f>
        <v>0.0477270034361547</v>
      </c>
      <c r="N23" s="44" t="str">
        <f aca="false">IF(F23="","",E23/F23-1)</f>
        <v/>
      </c>
      <c r="O23" s="44" t="n">
        <f aca="false">IFERROR(SUMIFS(Dati_Case!$E$2:$E$1061,Dati_Case!$B$2:$B$1061,A23,Dati_Case!$A$2:$A$1061,2024)/H23-1,"")</f>
        <v>0.00540958268933545</v>
      </c>
      <c r="P23" s="45" t="n">
        <f aca="false">IF(K23="","",RANK(K23,$K$5:$K$111,1))</f>
        <v>62</v>
      </c>
    </row>
    <row r="24" customFormat="false" ht="15" hidden="false" customHeight="false" outlineLevel="0" collapsed="false">
      <c r="A24" s="8" t="s">
        <v>140</v>
      </c>
      <c r="B24" s="8" t="s">
        <v>141</v>
      </c>
      <c r="C24" s="8" t="s">
        <v>92</v>
      </c>
      <c r="D24" s="8" t="s">
        <v>75</v>
      </c>
      <c r="E24" s="38" t="n">
        <v>19024</v>
      </c>
      <c r="F24" s="38" t="n">
        <v>15019</v>
      </c>
      <c r="G24" s="38" t="n">
        <v>518</v>
      </c>
      <c r="H24" s="38" t="n">
        <v>600</v>
      </c>
      <c r="I24" s="39" t="n">
        <v>2.053</v>
      </c>
      <c r="J24" s="40" t="n">
        <f aca="false">IF(G24="","",G24*$N$2)</f>
        <v>41440</v>
      </c>
      <c r="K24" s="41" t="n">
        <f aca="false">IF(G24="","",J24/E24)</f>
        <v>2.17830109335576</v>
      </c>
      <c r="L24" s="42" t="n">
        <f aca="false">I24*$P$2</f>
        <v>102.65</v>
      </c>
      <c r="M24" s="43" t="n">
        <f aca="false">L24/(E24/12)</f>
        <v>0.0647497897392767</v>
      </c>
      <c r="N24" s="44" t="n">
        <f aca="false">IF(F24="","",E24/F24-1)</f>
        <v>0.26666222784473</v>
      </c>
      <c r="O24" s="44" t="n">
        <f aca="false">IFERROR(SUMIFS(Dati_Case!$E$2:$E$1061,Dati_Case!$B$2:$B$1061,A24,Dati_Case!$A$2:$A$1061,2024)/H24-1,"")</f>
        <v>-0.133333333333333</v>
      </c>
      <c r="P24" s="45" t="n">
        <f aca="false">IF(K24="","",RANK(K24,$K$5:$K$111,1))</f>
        <v>2</v>
      </c>
    </row>
    <row r="25" customFormat="false" ht="15" hidden="false" customHeight="false" outlineLevel="0" collapsed="false">
      <c r="A25" s="8" t="s">
        <v>142</v>
      </c>
      <c r="B25" s="8" t="s">
        <v>143</v>
      </c>
      <c r="C25" s="8" t="s">
        <v>144</v>
      </c>
      <c r="D25" s="8" t="s">
        <v>74</v>
      </c>
      <c r="E25" s="38" t="n">
        <v>19935</v>
      </c>
      <c r="F25" s="38" t="n">
        <v>16072</v>
      </c>
      <c r="G25" s="38" t="n">
        <v>699</v>
      </c>
      <c r="H25" s="38" t="n">
        <v>724</v>
      </c>
      <c r="I25" s="39" t="n">
        <v>2.037</v>
      </c>
      <c r="J25" s="40" t="n">
        <f aca="false">IF(G25="","",G25*$N$2)</f>
        <v>55920</v>
      </c>
      <c r="K25" s="41" t="n">
        <f aca="false">IF(G25="","",J25/E25)</f>
        <v>2.80511662904439</v>
      </c>
      <c r="L25" s="42" t="n">
        <f aca="false">I25*$P$2</f>
        <v>101.85</v>
      </c>
      <c r="M25" s="43" t="n">
        <f aca="false">L25/(E25/12)</f>
        <v>0.0613092550790068</v>
      </c>
      <c r="N25" s="44" t="n">
        <f aca="false">IF(F25="","",E25/F25-1)</f>
        <v>0.240355898456944</v>
      </c>
      <c r="O25" s="44" t="n">
        <f aca="false">IFERROR(SUMIFS(Dati_Case!$E$2:$E$1061,Dati_Case!$B$2:$B$1061,A25,Dati_Case!$A$2:$A$1061,2024)/H25-1,"")</f>
        <v>-0.0359116022099447</v>
      </c>
      <c r="P25" s="45" t="n">
        <f aca="false">IF(K25="","",RANK(K25,$K$5:$K$111,1))</f>
        <v>16</v>
      </c>
    </row>
    <row r="26" customFormat="false" ht="15" hidden="false" customHeight="false" outlineLevel="0" collapsed="false">
      <c r="A26" s="8" t="s">
        <v>145</v>
      </c>
      <c r="B26" s="8" t="s">
        <v>146</v>
      </c>
      <c r="C26" s="8" t="s">
        <v>111</v>
      </c>
      <c r="D26" s="8" t="s">
        <v>74</v>
      </c>
      <c r="E26" s="38" t="n">
        <v>20306</v>
      </c>
      <c r="F26" s="38" t="n">
        <v>16371</v>
      </c>
      <c r="G26" s="38" t="n">
        <v>809</v>
      </c>
      <c r="H26" s="38" t="n">
        <v>791</v>
      </c>
      <c r="I26" s="39" t="n">
        <v>2.06</v>
      </c>
      <c r="J26" s="40" t="n">
        <f aca="false">IF(G26="","",G26*$N$2)</f>
        <v>64720</v>
      </c>
      <c r="K26" s="41" t="n">
        <f aca="false">IF(G26="","",J26/E26)</f>
        <v>3.18723529991136</v>
      </c>
      <c r="L26" s="42" t="n">
        <f aca="false">I26*$P$2</f>
        <v>103</v>
      </c>
      <c r="M26" s="43" t="n">
        <f aca="false">L26/(E26/12)</f>
        <v>0.0608687087560327</v>
      </c>
      <c r="N26" s="44" t="n">
        <f aca="false">IF(F26="","",E26/F26-1)</f>
        <v>0.240364058395944</v>
      </c>
      <c r="O26" s="44" t="n">
        <f aca="false">IFERROR(SUMIFS(Dati_Case!$E$2:$E$1061,Dati_Case!$B$2:$B$1061,A26,Dati_Case!$A$2:$A$1061,2024)/H26-1,"")</f>
        <v>0.0151706700379266</v>
      </c>
      <c r="P26" s="45" t="n">
        <f aca="false">IF(K26="","",RANK(K26,$K$5:$K$111,1))</f>
        <v>31</v>
      </c>
    </row>
    <row r="27" customFormat="false" ht="15" hidden="false" customHeight="false" outlineLevel="0" collapsed="false">
      <c r="A27" s="8" t="s">
        <v>147</v>
      </c>
      <c r="B27" s="8" t="s">
        <v>148</v>
      </c>
      <c r="C27" s="8" t="s">
        <v>92</v>
      </c>
      <c r="D27" s="8" t="s">
        <v>75</v>
      </c>
      <c r="E27" s="38" t="n">
        <v>21019</v>
      </c>
      <c r="F27" s="38" t="n">
        <v>16968</v>
      </c>
      <c r="G27" s="38" t="n">
        <v>813</v>
      </c>
      <c r="H27" s="38" t="n">
        <v>958</v>
      </c>
      <c r="I27" s="39" t="n">
        <v>2.044</v>
      </c>
      <c r="J27" s="40" t="n">
        <f aca="false">IF(G27="","",G27*$N$2)</f>
        <v>65040</v>
      </c>
      <c r="K27" s="41" t="n">
        <f aca="false">IF(G27="","",J27/E27)</f>
        <v>3.09434321328322</v>
      </c>
      <c r="L27" s="42" t="n">
        <f aca="false">I27*$P$2</f>
        <v>102.2</v>
      </c>
      <c r="M27" s="43" t="n">
        <f aca="false">L27/(E27/12)</f>
        <v>0.0583472096674437</v>
      </c>
      <c r="N27" s="44" t="n">
        <f aca="false">IF(F27="","",E27/F27-1)</f>
        <v>0.238743517208864</v>
      </c>
      <c r="O27" s="44" t="n">
        <f aca="false">IFERROR(SUMIFS(Dati_Case!$E$2:$E$1061,Dati_Case!$B$2:$B$1061,A27,Dati_Case!$A$2:$A$1061,2024)/H27-1,"")</f>
        <v>-0.144050104384134</v>
      </c>
      <c r="P27" s="45" t="n">
        <f aca="false">IF(K27="","",RANK(K27,$K$5:$K$111,1))</f>
        <v>27</v>
      </c>
    </row>
    <row r="28" customFormat="false" ht="15" hidden="false" customHeight="false" outlineLevel="0" collapsed="false">
      <c r="A28" s="8" t="s">
        <v>149</v>
      </c>
      <c r="B28" s="8" t="s">
        <v>150</v>
      </c>
      <c r="C28" s="8" t="s">
        <v>151</v>
      </c>
      <c r="D28" s="8" t="s">
        <v>74</v>
      </c>
      <c r="E28" s="38" t="n">
        <v>19346</v>
      </c>
      <c r="F28" s="38" t="n">
        <v>16035</v>
      </c>
      <c r="G28" s="38" t="n">
        <v>772</v>
      </c>
      <c r="H28" s="38" t="n">
        <v>767</v>
      </c>
      <c r="I28" s="39" t="n">
        <v>2.069</v>
      </c>
      <c r="J28" s="40" t="n">
        <f aca="false">IF(G28="","",G28*$N$2)</f>
        <v>61760</v>
      </c>
      <c r="K28" s="41" t="n">
        <f aca="false">IF(G28="","",J28/E28)</f>
        <v>3.19239119197767</v>
      </c>
      <c r="L28" s="42" t="n">
        <f aca="false">I28*$P$2</f>
        <v>103.45</v>
      </c>
      <c r="M28" s="43" t="n">
        <f aca="false">L28/(E28/12)</f>
        <v>0.0641683035252765</v>
      </c>
      <c r="N28" s="44" t="n">
        <f aca="false">IF(F28="","",E28/F28-1)</f>
        <v>0.206485812285625</v>
      </c>
      <c r="O28" s="44" t="n">
        <f aca="false">IFERROR(SUMIFS(Dati_Case!$E$2:$E$1061,Dati_Case!$B$2:$B$1061,A28,Dati_Case!$A$2:$A$1061,2024)/H28-1,"")</f>
        <v>-0.00260756192959588</v>
      </c>
      <c r="P28" s="45" t="n">
        <f aca="false">IF(K28="","",RANK(K28,$K$5:$K$111,1))</f>
        <v>32</v>
      </c>
    </row>
    <row r="29" customFormat="false" ht="15" hidden="false" customHeight="false" outlineLevel="0" collapsed="false">
      <c r="A29" s="8" t="s">
        <v>152</v>
      </c>
      <c r="B29" s="8" t="s">
        <v>153</v>
      </c>
      <c r="C29" s="8" t="s">
        <v>154</v>
      </c>
      <c r="D29" s="8" t="s">
        <v>74</v>
      </c>
      <c r="E29" s="38" t="n">
        <v>21427</v>
      </c>
      <c r="F29" s="38" t="n">
        <v>17439</v>
      </c>
      <c r="G29" s="38" t="n">
        <v>870</v>
      </c>
      <c r="H29" s="38" t="n">
        <v>725</v>
      </c>
      <c r="I29" s="39" t="n">
        <v>2.04</v>
      </c>
      <c r="J29" s="40" t="n">
        <f aca="false">IF(G29="","",G29*$N$2)</f>
        <v>69600</v>
      </c>
      <c r="K29" s="41" t="n">
        <f aca="false">IF(G29="","",J29/E29)</f>
        <v>3.24823820413497</v>
      </c>
      <c r="L29" s="42" t="n">
        <f aca="false">I29*$P$2</f>
        <v>102</v>
      </c>
      <c r="M29" s="43" t="n">
        <f aca="false">L29/(E29/12)</f>
        <v>0.0571241891072012</v>
      </c>
      <c r="N29" s="44" t="n">
        <f aca="false">IF(F29="","",E29/F29-1)</f>
        <v>0.228682837318654</v>
      </c>
      <c r="O29" s="44" t="n">
        <f aca="false">IFERROR(SUMIFS(Dati_Case!$E$2:$E$1061,Dati_Case!$B$2:$B$1061,A29,Dati_Case!$A$2:$A$1061,2024)/H29-1,"")</f>
        <v>0.184827586206897</v>
      </c>
      <c r="P29" s="45" t="n">
        <f aca="false">IF(K29="","",RANK(K29,$K$5:$K$111,1))</f>
        <v>34</v>
      </c>
    </row>
    <row r="30" customFormat="false" ht="15" hidden="false" customHeight="false" outlineLevel="0" collapsed="false">
      <c r="A30" s="8" t="s">
        <v>155</v>
      </c>
      <c r="B30" s="8" t="s">
        <v>156</v>
      </c>
      <c r="C30" s="8" t="s">
        <v>124</v>
      </c>
      <c r="D30" s="8" t="s">
        <v>72</v>
      </c>
      <c r="E30" s="38" t="n">
        <v>27138</v>
      </c>
      <c r="F30" s="38" t="n">
        <v>23146</v>
      </c>
      <c r="G30" s="38" t="n">
        <v>1598</v>
      </c>
      <c r="H30" s="38" t="n">
        <v>1522</v>
      </c>
      <c r="I30" s="39" t="n">
        <v>2.014</v>
      </c>
      <c r="J30" s="40" t="n">
        <f aca="false">IF(G30="","",G30*$N$2)</f>
        <v>127840</v>
      </c>
      <c r="K30" s="41" t="n">
        <f aca="false">IF(G30="","",J30/E30)</f>
        <v>4.7107377109588</v>
      </c>
      <c r="L30" s="42" t="n">
        <f aca="false">I30*$P$2</f>
        <v>100.7</v>
      </c>
      <c r="M30" s="43" t="n">
        <f aca="false">L30/(E30/12)</f>
        <v>0.0445279681627239</v>
      </c>
      <c r="N30" s="44" t="n">
        <f aca="false">IF(F30="","",E30/F30-1)</f>
        <v>0.172470405253607</v>
      </c>
      <c r="O30" s="44" t="n">
        <f aca="false">IFERROR(SUMIFS(Dati_Case!$E$2:$E$1061,Dati_Case!$B$2:$B$1061,A30,Dati_Case!$A$2:$A$1061,2024)/H30-1,"")</f>
        <v>0.0308804204993429</v>
      </c>
      <c r="P30" s="45" t="n">
        <f aca="false">IF(K30="","",RANK(K30,$K$5:$K$111,1))</f>
        <v>75</v>
      </c>
    </row>
    <row r="31" customFormat="false" ht="15" hidden="false" customHeight="false" outlineLevel="0" collapsed="false">
      <c r="A31" s="8" t="s">
        <v>157</v>
      </c>
      <c r="B31" s="8" t="s">
        <v>158</v>
      </c>
      <c r="C31" s="8" t="s">
        <v>151</v>
      </c>
      <c r="D31" s="8" t="s">
        <v>74</v>
      </c>
      <c r="E31" s="38" t="n">
        <v>18263</v>
      </c>
      <c r="F31" s="38" t="n">
        <v>14693</v>
      </c>
      <c r="G31" s="38" t="n">
        <v>692</v>
      </c>
      <c r="H31" s="38" t="n">
        <v>708</v>
      </c>
      <c r="I31" s="39" t="n">
        <v>2.05</v>
      </c>
      <c r="J31" s="40" t="n">
        <f aca="false">IF(G31="","",G31*$N$2)</f>
        <v>55360</v>
      </c>
      <c r="K31" s="41" t="n">
        <f aca="false">IF(G31="","",J31/E31)</f>
        <v>3.03126539998905</v>
      </c>
      <c r="L31" s="42" t="n">
        <f aca="false">I31*$P$2</f>
        <v>102.5</v>
      </c>
      <c r="M31" s="43" t="n">
        <f aca="false">L31/(E31/12)</f>
        <v>0.0673492854405081</v>
      </c>
      <c r="N31" s="44" t="n">
        <f aca="false">IF(F31="","",E31/F31-1)</f>
        <v>0.242972844211529</v>
      </c>
      <c r="O31" s="44" t="n">
        <f aca="false">IFERROR(SUMIFS(Dati_Case!$E$2:$E$1061,Dati_Case!$B$2:$B$1061,A31,Dati_Case!$A$2:$A$1061,2024)/H31-1,"")</f>
        <v>-0.0240112994350282</v>
      </c>
      <c r="P31" s="45" t="n">
        <f aca="false">IF(K31="","",RANK(K31,$K$5:$K$111,1))</f>
        <v>25</v>
      </c>
    </row>
    <row r="32" customFormat="false" ht="15" hidden="false" customHeight="false" outlineLevel="0" collapsed="false">
      <c r="A32" s="8" t="s">
        <v>159</v>
      </c>
      <c r="B32" s="8" t="s">
        <v>160</v>
      </c>
      <c r="C32" s="8" t="s">
        <v>124</v>
      </c>
      <c r="D32" s="8" t="s">
        <v>72</v>
      </c>
      <c r="E32" s="38" t="n">
        <v>26546</v>
      </c>
      <c r="F32" s="38" t="n">
        <v>22481</v>
      </c>
      <c r="G32" s="38" t="n">
        <v>957</v>
      </c>
      <c r="H32" s="38" t="n">
        <v>982</v>
      </c>
      <c r="I32" s="39" t="n">
        <v>2.026</v>
      </c>
      <c r="J32" s="40" t="n">
        <f aca="false">IF(G32="","",G32*$N$2)</f>
        <v>76560</v>
      </c>
      <c r="K32" s="41" t="n">
        <f aca="false">IF(G32="","",J32/E32)</f>
        <v>2.88405032773299</v>
      </c>
      <c r="L32" s="42" t="n">
        <f aca="false">I32*$P$2</f>
        <v>101.3</v>
      </c>
      <c r="M32" s="43" t="n">
        <f aca="false">L32/(E32/12)</f>
        <v>0.0457922097491147</v>
      </c>
      <c r="N32" s="44" t="n">
        <f aca="false">IF(F32="","",E32/F32-1)</f>
        <v>0.180819358569459</v>
      </c>
      <c r="O32" s="44" t="n">
        <f aca="false">IFERROR(SUMIFS(Dati_Case!$E$2:$E$1061,Dati_Case!$B$2:$B$1061,A32,Dati_Case!$A$2:$A$1061,2024)/H32-1,"")</f>
        <v>-0.0560081466395112</v>
      </c>
      <c r="P32" s="45" t="n">
        <f aca="false">IF(K32="","",RANK(K32,$K$5:$K$111,1))</f>
        <v>18</v>
      </c>
    </row>
    <row r="33" customFormat="false" ht="15" hidden="false" customHeight="false" outlineLevel="0" collapsed="false">
      <c r="A33" s="8" t="s">
        <v>161</v>
      </c>
      <c r="B33" s="8" t="s">
        <v>162</v>
      </c>
      <c r="C33" s="8" t="s">
        <v>151</v>
      </c>
      <c r="D33" s="8" t="s">
        <v>74</v>
      </c>
      <c r="E33" s="38" t="n">
        <v>17873</v>
      </c>
      <c r="F33" s="38" t="n">
        <v>13898</v>
      </c>
      <c r="G33" s="38" t="n">
        <v>666</v>
      </c>
      <c r="H33" s="38" t="n">
        <v>699</v>
      </c>
      <c r="I33" s="39" t="n">
        <v>2.067</v>
      </c>
      <c r="J33" s="40" t="n">
        <f aca="false">IF(G33="","",G33*$N$2)</f>
        <v>53280</v>
      </c>
      <c r="K33" s="41" t="n">
        <f aca="false">IF(G33="","",J33/E33)</f>
        <v>2.98103284283556</v>
      </c>
      <c r="L33" s="42" t="n">
        <f aca="false">I33*$P$2</f>
        <v>103.35</v>
      </c>
      <c r="M33" s="43" t="n">
        <f aca="false">L33/(E33/12)</f>
        <v>0.0693895820511386</v>
      </c>
      <c r="N33" s="44" t="n">
        <f aca="false">IF(F33="","",E33/F33-1)</f>
        <v>0.286012375881422</v>
      </c>
      <c r="O33" s="44" t="n">
        <f aca="false">IFERROR(SUMIFS(Dati_Case!$E$2:$E$1061,Dati_Case!$B$2:$B$1061,A33,Dati_Case!$A$2:$A$1061,2024)/H33-1,"")</f>
        <v>-0.0629470672389128</v>
      </c>
      <c r="P33" s="45" t="n">
        <f aca="false">IF(K33="","",RANK(K33,$K$5:$K$111,1))</f>
        <v>23</v>
      </c>
    </row>
    <row r="34" customFormat="false" ht="15" hidden="false" customHeight="false" outlineLevel="0" collapsed="false">
      <c r="A34" s="8" t="s">
        <v>163</v>
      </c>
      <c r="B34" s="8" t="s">
        <v>164</v>
      </c>
      <c r="C34" s="8" t="s">
        <v>95</v>
      </c>
      <c r="D34" s="8" t="s">
        <v>72</v>
      </c>
      <c r="E34" s="38" t="n">
        <v>25380</v>
      </c>
      <c r="F34" s="38" t="n">
        <v>21011</v>
      </c>
      <c r="G34" s="38" t="n">
        <v>994</v>
      </c>
      <c r="H34" s="38" t="n">
        <v>1096</v>
      </c>
      <c r="I34" s="39" t="n">
        <v>2.035</v>
      </c>
      <c r="J34" s="40" t="n">
        <f aca="false">IF(G34="","",G34*$N$2)</f>
        <v>79520</v>
      </c>
      <c r="K34" s="41" t="n">
        <f aca="false">IF(G34="","",J34/E34)</f>
        <v>3.13317572892041</v>
      </c>
      <c r="L34" s="42" t="n">
        <f aca="false">I34*$P$2</f>
        <v>101.75</v>
      </c>
      <c r="M34" s="43" t="n">
        <f aca="false">L34/(E34/12)</f>
        <v>0.0481087470449173</v>
      </c>
      <c r="N34" s="44" t="n">
        <f aca="false">IF(F34="","",E34/F34-1)</f>
        <v>0.207938698776831</v>
      </c>
      <c r="O34" s="44" t="n">
        <f aca="false">IFERROR(SUMIFS(Dati_Case!$E$2:$E$1061,Dati_Case!$B$2:$B$1061,A34,Dati_Case!$A$2:$A$1061,2024)/H34-1,"")</f>
        <v>-0.0739051094890511</v>
      </c>
      <c r="P34" s="45" t="n">
        <f aca="false">IF(K34="","",RANK(K34,$K$5:$K$111,1))</f>
        <v>29</v>
      </c>
    </row>
    <row r="35" customFormat="false" ht="15" hidden="false" customHeight="false" outlineLevel="0" collapsed="false">
      <c r="A35" s="8" t="s">
        <v>165</v>
      </c>
      <c r="B35" s="8" t="s">
        <v>166</v>
      </c>
      <c r="C35" s="8" t="s">
        <v>92</v>
      </c>
      <c r="D35" s="8" t="s">
        <v>75</v>
      </c>
      <c r="E35" s="38" t="n">
        <v>18556</v>
      </c>
      <c r="F35" s="38" t="n">
        <v>14418</v>
      </c>
      <c r="G35" s="38" t="n">
        <v>616</v>
      </c>
      <c r="H35" s="38" t="n">
        <v>818</v>
      </c>
      <c r="I35" s="39" t="n">
        <v>2.052</v>
      </c>
      <c r="J35" s="40" t="n">
        <f aca="false">IF(G35="","",G35*$N$2)</f>
        <v>49280</v>
      </c>
      <c r="K35" s="41" t="n">
        <f aca="false">IF(G35="","",J35/E35)</f>
        <v>2.6557447725803</v>
      </c>
      <c r="L35" s="42" t="n">
        <f aca="false">I35*$P$2</f>
        <v>102.6</v>
      </c>
      <c r="M35" s="43" t="n">
        <f aca="false">L35/(E35/12)</f>
        <v>0.0663505065746928</v>
      </c>
      <c r="N35" s="44" t="n">
        <f aca="false">IF(F35="","",E35/F35-1)</f>
        <v>0.287002358163407</v>
      </c>
      <c r="O35" s="44" t="n">
        <f aca="false">IFERROR(SUMIFS(Dati_Case!$E$2:$E$1061,Dati_Case!$B$2:$B$1061,A35,Dati_Case!$A$2:$A$1061,2024)/H35-1,"")</f>
        <v>-0.243276283618582</v>
      </c>
      <c r="P35" s="45" t="n">
        <f aca="false">IF(K35="","",RANK(K35,$K$5:$K$111,1))</f>
        <v>10</v>
      </c>
    </row>
    <row r="36" customFormat="false" ht="15" hidden="false" customHeight="false" outlineLevel="0" collapsed="false">
      <c r="A36" s="8" t="s">
        <v>167</v>
      </c>
      <c r="B36" s="8" t="s">
        <v>168</v>
      </c>
      <c r="C36" s="8" t="s">
        <v>98</v>
      </c>
      <c r="D36" s="8" t="s">
        <v>73</v>
      </c>
      <c r="E36" s="38" t="n">
        <v>21979</v>
      </c>
      <c r="F36" s="38" t="n">
        <v>18326</v>
      </c>
      <c r="G36" s="38" t="n">
        <v>1262</v>
      </c>
      <c r="H36" s="38" t="n">
        <v>1262</v>
      </c>
      <c r="I36" s="39" t="n">
        <v>2.028</v>
      </c>
      <c r="J36" s="40" t="n">
        <f aca="false">IF(G36="","",G36*$N$2)</f>
        <v>100960</v>
      </c>
      <c r="K36" s="41" t="n">
        <f aca="false">IF(G36="","",J36/E36)</f>
        <v>4.59347559033623</v>
      </c>
      <c r="L36" s="42" t="n">
        <f aca="false">I36*$P$2</f>
        <v>101.4</v>
      </c>
      <c r="M36" s="43" t="n">
        <f aca="false">L36/(E36/12)</f>
        <v>0.0553619363938305</v>
      </c>
      <c r="N36" s="44" t="n">
        <f aca="false">IF(F36="","",E36/F36-1)</f>
        <v>0.199334279166212</v>
      </c>
      <c r="O36" s="44" t="n">
        <f aca="false">IFERROR(SUMIFS(Dati_Case!$E$2:$E$1061,Dati_Case!$B$2:$B$1061,A36,Dati_Case!$A$2:$A$1061,2024)/H36-1,"")</f>
        <v>-0.0103011093502378</v>
      </c>
      <c r="P36" s="45" t="n">
        <f aca="false">IF(K36="","",RANK(K36,$K$5:$K$111,1))</f>
        <v>70</v>
      </c>
    </row>
    <row r="37" customFormat="false" ht="15" hidden="false" customHeight="false" outlineLevel="0" collapsed="false">
      <c r="A37" s="8" t="s">
        <v>169</v>
      </c>
      <c r="B37" s="8" t="s">
        <v>170</v>
      </c>
      <c r="C37" s="8" t="s">
        <v>129</v>
      </c>
      <c r="D37" s="8" t="s">
        <v>72</v>
      </c>
      <c r="E37" s="38" t="n">
        <v>25128</v>
      </c>
      <c r="F37" s="38" t="n">
        <v>20788</v>
      </c>
      <c r="G37" s="38" t="n">
        <v>1048</v>
      </c>
      <c r="H37" s="38" t="n">
        <v>1118</v>
      </c>
      <c r="I37" s="39" t="n">
        <v>2.05</v>
      </c>
      <c r="J37" s="40" t="n">
        <f aca="false">IF(G37="","",G37*$N$2)</f>
        <v>83840</v>
      </c>
      <c r="K37" s="41" t="n">
        <f aca="false">IF(G37="","",J37/E37)</f>
        <v>3.3365170327921</v>
      </c>
      <c r="L37" s="42" t="n">
        <f aca="false">I37*$P$2</f>
        <v>102.5</v>
      </c>
      <c r="M37" s="43" t="n">
        <f aca="false">L37/(E37/12)</f>
        <v>0.0489493791786055</v>
      </c>
      <c r="N37" s="44" t="n">
        <f aca="false">IF(F37="","",E37/F37-1)</f>
        <v>0.208774292861266</v>
      </c>
      <c r="O37" s="44" t="n">
        <f aca="false">IFERROR(SUMIFS(Dati_Case!$E$2:$E$1061,Dati_Case!$B$2:$B$1061,A37,Dati_Case!$A$2:$A$1061,2024)/H37-1,"")</f>
        <v>-0.0661896243291592</v>
      </c>
      <c r="P37" s="45" t="n">
        <f aca="false">IF(K37="","",RANK(K37,$K$5:$K$111,1))</f>
        <v>37</v>
      </c>
    </row>
    <row r="38" customFormat="false" ht="15" hidden="false" customHeight="false" outlineLevel="0" collapsed="false">
      <c r="A38" s="8" t="s">
        <v>171</v>
      </c>
      <c r="B38" s="8" t="s">
        <v>172</v>
      </c>
      <c r="C38" s="8" t="s">
        <v>104</v>
      </c>
      <c r="D38" s="8" t="s">
        <v>73</v>
      </c>
      <c r="E38" s="38" t="n">
        <v>27926</v>
      </c>
      <c r="F38" s="38" t="n">
        <v>23660</v>
      </c>
      <c r="G38" s="38" t="n">
        <v>2238</v>
      </c>
      <c r="H38" s="38" t="n">
        <v>2329</v>
      </c>
      <c r="I38" s="39" t="n">
        <v>2.013</v>
      </c>
      <c r="J38" s="40" t="n">
        <f aca="false">IF(G38="","",G38*$N$2)</f>
        <v>179040</v>
      </c>
      <c r="K38" s="41" t="n">
        <f aca="false">IF(G38="","",J38/E38)</f>
        <v>6.41122967843587</v>
      </c>
      <c r="L38" s="42" t="n">
        <f aca="false">I38*$P$2</f>
        <v>100.65</v>
      </c>
      <c r="M38" s="43" t="n">
        <f aca="false">L38/(E38/12)</f>
        <v>0.0432500179044618</v>
      </c>
      <c r="N38" s="44" t="n">
        <f aca="false">IF(F38="","",E38/F38-1)</f>
        <v>0.180304311073542</v>
      </c>
      <c r="O38" s="44" t="n">
        <f aca="false">IFERROR(SUMIFS(Dati_Case!$E$2:$E$1061,Dati_Case!$B$2:$B$1061,A38,Dati_Case!$A$2:$A$1061,2024)/H38-1,"")</f>
        <v>-0.0502361528553027</v>
      </c>
      <c r="P38" s="45" t="n">
        <f aca="false">IF(K38="","",RANK(K38,$K$5:$K$111,1))</f>
        <v>97</v>
      </c>
    </row>
    <row r="39" customFormat="false" ht="15" hidden="false" customHeight="false" outlineLevel="0" collapsed="false">
      <c r="A39" s="8" t="s">
        <v>173</v>
      </c>
      <c r="B39" s="8" t="s">
        <v>174</v>
      </c>
      <c r="C39" s="8" t="s">
        <v>114</v>
      </c>
      <c r="D39" s="8" t="s">
        <v>74</v>
      </c>
      <c r="E39" s="38" t="n">
        <v>18201</v>
      </c>
      <c r="F39" s="38" t="n">
        <v>14936</v>
      </c>
      <c r="G39" s="38" t="n">
        <v>914</v>
      </c>
      <c r="H39" s="38" t="n">
        <v>979</v>
      </c>
      <c r="I39" s="39" t="n">
        <v>2.069</v>
      </c>
      <c r="J39" s="40" t="n">
        <f aca="false">IF(G39="","",G39*$N$2)</f>
        <v>73120</v>
      </c>
      <c r="K39" s="41" t="n">
        <f aca="false">IF(G39="","",J39/E39)</f>
        <v>4.01736168342399</v>
      </c>
      <c r="L39" s="42" t="n">
        <f aca="false">I39*$P$2</f>
        <v>103.45</v>
      </c>
      <c r="M39" s="43" t="n">
        <f aca="false">L39/(E39/12)</f>
        <v>0.0682050436789188</v>
      </c>
      <c r="N39" s="44" t="n">
        <f aca="false">IF(F39="","",E39/F39-1)</f>
        <v>0.218599357257633</v>
      </c>
      <c r="O39" s="44" t="n">
        <f aca="false">IFERROR(SUMIFS(Dati_Case!$E$2:$E$1061,Dati_Case!$B$2:$B$1061,A39,Dati_Case!$A$2:$A$1061,2024)/H39-1,"")</f>
        <v>-0.0786516853932584</v>
      </c>
      <c r="P39" s="45" t="n">
        <f aca="false">IF(K39="","",RANK(K39,$K$5:$K$111,1))</f>
        <v>57</v>
      </c>
    </row>
    <row r="40" customFormat="false" ht="15" hidden="false" customHeight="false" outlineLevel="0" collapsed="false">
      <c r="A40" s="8" t="s">
        <v>175</v>
      </c>
      <c r="B40" s="8" t="s">
        <v>176</v>
      </c>
      <c r="C40" s="8" t="s">
        <v>129</v>
      </c>
      <c r="D40" s="8" t="s">
        <v>72</v>
      </c>
      <c r="E40" s="38" t="n">
        <v>25353</v>
      </c>
      <c r="F40" s="38" t="n">
        <v>20806</v>
      </c>
      <c r="G40" s="38" t="n">
        <v>1597</v>
      </c>
      <c r="H40" s="38" t="n">
        <v>1632</v>
      </c>
      <c r="I40" s="39" t="n">
        <v>2.03</v>
      </c>
      <c r="J40" s="40" t="n">
        <f aca="false">IF(G40="","",G40*$N$2)</f>
        <v>127760</v>
      </c>
      <c r="K40" s="41" t="n">
        <f aca="false">IF(G40="","",J40/E40)</f>
        <v>5.03924584861752</v>
      </c>
      <c r="L40" s="42" t="n">
        <f aca="false">I40*$P$2</f>
        <v>101.5</v>
      </c>
      <c r="M40" s="43" t="n">
        <f aca="false">L40/(E40/12)</f>
        <v>0.0480416518755177</v>
      </c>
      <c r="N40" s="44" t="n">
        <f aca="false">IF(F40="","",E40/F40-1)</f>
        <v>0.218542728059214</v>
      </c>
      <c r="O40" s="44" t="n">
        <f aca="false">IFERROR(SUMIFS(Dati_Case!$E$2:$E$1061,Dati_Case!$B$2:$B$1061,A40,Dati_Case!$A$2:$A$1061,2024)/H40-1,"")</f>
        <v>-0.0269607843137255</v>
      </c>
      <c r="P40" s="45" t="n">
        <f aca="false">IF(K40="","",RANK(K40,$K$5:$K$111,1))</f>
        <v>80</v>
      </c>
    </row>
    <row r="41" customFormat="false" ht="15" hidden="false" customHeight="false" outlineLevel="0" collapsed="false">
      <c r="A41" s="8" t="s">
        <v>177</v>
      </c>
      <c r="B41" s="8" t="s">
        <v>178</v>
      </c>
      <c r="C41" s="8" t="s">
        <v>179</v>
      </c>
      <c r="D41" s="8" t="s">
        <v>73</v>
      </c>
      <c r="E41" s="38" t="n">
        <v>21600</v>
      </c>
      <c r="F41" s="38" t="n">
        <v>17436</v>
      </c>
      <c r="G41" s="38" t="n">
        <v>744</v>
      </c>
      <c r="H41" s="38" t="n">
        <v>1036</v>
      </c>
      <c r="I41" s="39" t="n">
        <v>2.02</v>
      </c>
      <c r="J41" s="40" t="n">
        <f aca="false">IF(G41="","",G41*$N$2)</f>
        <v>59520</v>
      </c>
      <c r="K41" s="41" t="n">
        <f aca="false">IF(G41="","",J41/E41)</f>
        <v>2.75555555555556</v>
      </c>
      <c r="L41" s="42" t="n">
        <f aca="false">I41*$P$2</f>
        <v>101</v>
      </c>
      <c r="M41" s="43" t="n">
        <f aca="false">L41/(E41/12)</f>
        <v>0.0561111111111111</v>
      </c>
      <c r="N41" s="44" t="n">
        <f aca="false">IF(F41="","",E41/F41-1)</f>
        <v>0.238816242257399</v>
      </c>
      <c r="O41" s="44" t="n">
        <f aca="false">IFERROR(SUMIFS(Dati_Case!$E$2:$E$1061,Dati_Case!$B$2:$B$1061,A41,Dati_Case!$A$2:$A$1061,2024)/H41-1,"")</f>
        <v>-0.273166023166023</v>
      </c>
      <c r="P41" s="45" t="n">
        <f aca="false">IF(K41="","",RANK(K41,$K$5:$K$111,1))</f>
        <v>14</v>
      </c>
    </row>
    <row r="42" customFormat="false" ht="15" hidden="false" customHeight="false" outlineLevel="0" collapsed="false">
      <c r="A42" s="8" t="s">
        <v>180</v>
      </c>
      <c r="B42" s="8" t="s">
        <v>181</v>
      </c>
      <c r="C42" s="8" t="s">
        <v>182</v>
      </c>
      <c r="D42" s="8" t="s">
        <v>72</v>
      </c>
      <c r="E42" s="38" t="n">
        <v>27544</v>
      </c>
      <c r="F42" s="38" t="n">
        <v>23607</v>
      </c>
      <c r="G42" s="38" t="n">
        <v>2074</v>
      </c>
      <c r="H42" s="38" t="n">
        <v>2431</v>
      </c>
      <c r="I42" s="39" t="n">
        <v>2.013</v>
      </c>
      <c r="J42" s="40" t="n">
        <f aca="false">IF(G42="","",G42*$N$2)</f>
        <v>165920</v>
      </c>
      <c r="K42" s="41" t="n">
        <f aca="false">IF(G42="","",J42/E42)</f>
        <v>6.0238164391519</v>
      </c>
      <c r="L42" s="42" t="n">
        <f aca="false">I42*$P$2</f>
        <v>100.65</v>
      </c>
      <c r="M42" s="43" t="n">
        <f aca="false">L42/(E42/12)</f>
        <v>0.0438498402555911</v>
      </c>
      <c r="N42" s="44" t="n">
        <f aca="false">IF(F42="","",E42/F42-1)</f>
        <v>0.166772567458805</v>
      </c>
      <c r="O42" s="44" t="n">
        <f aca="false">IFERROR(SUMIFS(Dati_Case!$E$2:$E$1061,Dati_Case!$B$2:$B$1061,A42,Dati_Case!$A$2:$A$1061,2024)/H42-1,"")</f>
        <v>-0.148498560263266</v>
      </c>
      <c r="P42" s="45" t="n">
        <f aca="false">IF(K42="","",RANK(K42,$K$5:$K$111,1))</f>
        <v>94</v>
      </c>
    </row>
    <row r="43" customFormat="false" ht="15" hidden="false" customHeight="false" outlineLevel="0" collapsed="false">
      <c r="A43" s="8" t="s">
        <v>183</v>
      </c>
      <c r="B43" s="8" t="s">
        <v>184</v>
      </c>
      <c r="C43" s="8" t="s">
        <v>185</v>
      </c>
      <c r="D43" s="8" t="s">
        <v>72</v>
      </c>
      <c r="E43" s="38" t="n">
        <v>24647</v>
      </c>
      <c r="F43" s="38" t="n">
        <v>20905</v>
      </c>
      <c r="G43" s="38" t="n">
        <v>1010</v>
      </c>
      <c r="H43" s="38" t="n">
        <v>1133</v>
      </c>
      <c r="I43" s="39" t="n">
        <v>2.016</v>
      </c>
      <c r="J43" s="40" t="n">
        <f aca="false">IF(G43="","",G43*$N$2)</f>
        <v>80800</v>
      </c>
      <c r="K43" s="41" t="n">
        <f aca="false">IF(G43="","",J43/E43)</f>
        <v>3.27828944699152</v>
      </c>
      <c r="L43" s="42" t="n">
        <f aca="false">I43*$P$2</f>
        <v>100.8</v>
      </c>
      <c r="M43" s="43" t="n">
        <f aca="false">L43/(E43/12)</f>
        <v>0.0490769667708038</v>
      </c>
      <c r="N43" s="44" t="n">
        <f aca="false">IF(F43="","",E43/F43-1)</f>
        <v>0.17900023917723</v>
      </c>
      <c r="O43" s="44" t="n">
        <f aca="false">IFERROR(SUMIFS(Dati_Case!$E$2:$E$1061,Dati_Case!$B$2:$B$1061,A43,Dati_Case!$A$2:$A$1061,2024)/H43-1,"")</f>
        <v>-0.1306266548985</v>
      </c>
      <c r="P43" s="45" t="n">
        <f aca="false">IF(K43="","",RANK(K43,$K$5:$K$111,1))</f>
        <v>35</v>
      </c>
    </row>
    <row r="44" customFormat="false" ht="15" hidden="false" customHeight="false" outlineLevel="0" collapsed="false">
      <c r="A44" s="8" t="s">
        <v>186</v>
      </c>
      <c r="B44" s="8" t="s">
        <v>187</v>
      </c>
      <c r="C44" s="8" t="s">
        <v>104</v>
      </c>
      <c r="D44" s="8" t="s">
        <v>73</v>
      </c>
      <c r="E44" s="38" t="n">
        <v>23344</v>
      </c>
      <c r="F44" s="38" t="n">
        <v>19197</v>
      </c>
      <c r="G44" s="38" t="n">
        <v>2102</v>
      </c>
      <c r="H44" s="38" t="n">
        <v>2403</v>
      </c>
      <c r="I44" s="39" t="n">
        <v>2.055</v>
      </c>
      <c r="J44" s="40" t="n">
        <f aca="false">IF(G44="","",G44*$N$2)</f>
        <v>168160</v>
      </c>
      <c r="K44" s="41" t="n">
        <f aca="false">IF(G44="","",J44/E44)</f>
        <v>7.20356408498972</v>
      </c>
      <c r="L44" s="42" t="n">
        <f aca="false">I44*$P$2</f>
        <v>102.75</v>
      </c>
      <c r="M44" s="43" t="n">
        <f aca="false">L44/(E44/12)</f>
        <v>0.052818711446196</v>
      </c>
      <c r="N44" s="44" t="n">
        <f aca="false">IF(F44="","",E44/F44-1)</f>
        <v>0.216023336979736</v>
      </c>
      <c r="O44" s="44" t="n">
        <f aca="false">IFERROR(SUMIFS(Dati_Case!$E$2:$E$1061,Dati_Case!$B$2:$B$1061,A44,Dati_Case!$A$2:$A$1061,2024)/H44-1,"")</f>
        <v>-0.117353308364544</v>
      </c>
      <c r="P44" s="45" t="n">
        <f aca="false">IF(K44="","",RANK(K44,$K$5:$K$111,1))</f>
        <v>101</v>
      </c>
    </row>
    <row r="45" customFormat="false" ht="15" hidden="false" customHeight="false" outlineLevel="0" collapsed="false">
      <c r="A45" s="8" t="s">
        <v>188</v>
      </c>
      <c r="B45" s="8" t="s">
        <v>189</v>
      </c>
      <c r="C45" s="8" t="s">
        <v>182</v>
      </c>
      <c r="D45" s="8" t="s">
        <v>72</v>
      </c>
      <c r="E45" s="38" t="n">
        <v>21568</v>
      </c>
      <c r="F45" s="38" t="n">
        <v>19046</v>
      </c>
      <c r="G45" s="38" t="n">
        <v>2301</v>
      </c>
      <c r="H45" s="38" t="n">
        <v>2361</v>
      </c>
      <c r="I45" s="39" t="n">
        <v>2.027</v>
      </c>
      <c r="J45" s="40" t="n">
        <f aca="false">IF(G45="","",G45*$N$2)</f>
        <v>184080</v>
      </c>
      <c r="K45" s="41" t="n">
        <f aca="false">IF(G45="","",J45/E45)</f>
        <v>8.53486646884273</v>
      </c>
      <c r="L45" s="42" t="n">
        <f aca="false">I45*$P$2</f>
        <v>101.35</v>
      </c>
      <c r="M45" s="43" t="n">
        <f aca="false">L45/(E45/12)</f>
        <v>0.0563890949554896</v>
      </c>
      <c r="N45" s="44" t="n">
        <f aca="false">IF(F45="","",E45/F45-1)</f>
        <v>0.132416255381707</v>
      </c>
      <c r="O45" s="44" t="n">
        <f aca="false">IFERROR(SUMIFS(Dati_Case!$E$2:$E$1061,Dati_Case!$B$2:$B$1061,A45,Dati_Case!$A$2:$A$1061,2024)/H45-1,"")</f>
        <v>-0.0288013553578992</v>
      </c>
      <c r="P45" s="45" t="n">
        <f aca="false">IF(K45="","",RANK(K45,$K$5:$K$111,1))</f>
        <v>104</v>
      </c>
    </row>
    <row r="46" customFormat="false" ht="15" hidden="false" customHeight="false" outlineLevel="0" collapsed="false">
      <c r="A46" s="8" t="s">
        <v>190</v>
      </c>
      <c r="B46" s="8" t="s">
        <v>191</v>
      </c>
      <c r="C46" s="8" t="s">
        <v>144</v>
      </c>
      <c r="D46" s="8" t="s">
        <v>74</v>
      </c>
      <c r="E46" s="38" t="n">
        <v>19900</v>
      </c>
      <c r="F46" s="38" t="n">
        <v>15936</v>
      </c>
      <c r="G46" s="38" t="n">
        <v>561</v>
      </c>
      <c r="H46" s="38" t="n">
        <v>697</v>
      </c>
      <c r="I46" s="39" t="n">
        <v>2.048</v>
      </c>
      <c r="J46" s="40" t="n">
        <f aca="false">IF(G46="","",G46*$N$2)</f>
        <v>44880</v>
      </c>
      <c r="K46" s="41" t="n">
        <f aca="false">IF(G46="","",J46/E46)</f>
        <v>2.25527638190955</v>
      </c>
      <c r="L46" s="42" t="n">
        <f aca="false">I46*$P$2</f>
        <v>102.4</v>
      </c>
      <c r="M46" s="43" t="n">
        <f aca="false">L46/(E46/12)</f>
        <v>0.061748743718593</v>
      </c>
      <c r="N46" s="44" t="n">
        <f aca="false">IF(F46="","",E46/F46-1)</f>
        <v>0.248744979919679</v>
      </c>
      <c r="O46" s="44" t="n">
        <f aca="false">IFERROR(SUMIFS(Dati_Case!$E$2:$E$1061,Dati_Case!$B$2:$B$1061,A46,Dati_Case!$A$2:$A$1061,2024)/H46-1,"")</f>
        <v>-0.177905308464849</v>
      </c>
      <c r="P46" s="45" t="n">
        <f aca="false">IF(K46="","",RANK(K46,$K$5:$K$111,1))</f>
        <v>3</v>
      </c>
    </row>
    <row r="47" customFormat="false" ht="15" hidden="false" customHeight="false" outlineLevel="0" collapsed="false">
      <c r="A47" s="8" t="s">
        <v>192</v>
      </c>
      <c r="B47" s="8" t="s">
        <v>193</v>
      </c>
      <c r="C47" s="8" t="s">
        <v>154</v>
      </c>
      <c r="D47" s="8" t="s">
        <v>74</v>
      </c>
      <c r="E47" s="38" t="n">
        <v>23049</v>
      </c>
      <c r="F47" s="38" t="n">
        <v>18553</v>
      </c>
      <c r="G47" s="38" t="n">
        <v>777</v>
      </c>
      <c r="H47" s="38" t="n">
        <v>831</v>
      </c>
      <c r="I47" s="39" t="n">
        <v>2.045</v>
      </c>
      <c r="J47" s="40" t="n">
        <f aca="false">IF(G47="","",G47*$N$2)</f>
        <v>62160</v>
      </c>
      <c r="K47" s="41" t="n">
        <f aca="false">IF(G47="","",J47/E47)</f>
        <v>2.69686320447742</v>
      </c>
      <c r="L47" s="42" t="n">
        <f aca="false">I47*$P$2</f>
        <v>102.25</v>
      </c>
      <c r="M47" s="43" t="n">
        <f aca="false">L47/(E47/12)</f>
        <v>0.053234413640505</v>
      </c>
      <c r="N47" s="44" t="n">
        <f aca="false">IF(F47="","",E47/F47-1)</f>
        <v>0.242332776370398</v>
      </c>
      <c r="O47" s="44" t="n">
        <f aca="false">IFERROR(SUMIFS(Dati_Case!$E$2:$E$1061,Dati_Case!$B$2:$B$1061,A47,Dati_Case!$A$2:$A$1061,2024)/H47-1,"")</f>
        <v>-0.058965102286402</v>
      </c>
      <c r="P47" s="45" t="n">
        <f aca="false">IF(K47="","",RANK(K47,$K$5:$K$111,1))</f>
        <v>13</v>
      </c>
    </row>
    <row r="48" customFormat="false" ht="15" hidden="false" customHeight="false" outlineLevel="0" collapsed="false">
      <c r="A48" s="8" t="s">
        <v>194</v>
      </c>
      <c r="B48" s="8" t="s">
        <v>195</v>
      </c>
      <c r="C48" s="8" t="s">
        <v>182</v>
      </c>
      <c r="D48" s="8" t="s">
        <v>72</v>
      </c>
      <c r="E48" s="38" t="n">
        <v>25984</v>
      </c>
      <c r="F48" s="38" t="n">
        <v>21750</v>
      </c>
      <c r="G48" s="38" t="n">
        <v>1876</v>
      </c>
      <c r="H48" s="38" t="n">
        <v>1820</v>
      </c>
      <c r="I48" s="39" t="n">
        <v>2.032</v>
      </c>
      <c r="J48" s="40" t="n">
        <f aca="false">IF(G48="","",G48*$N$2)</f>
        <v>150080</v>
      </c>
      <c r="K48" s="41" t="n">
        <f aca="false">IF(G48="","",J48/E48)</f>
        <v>5.77586206896552</v>
      </c>
      <c r="L48" s="42" t="n">
        <f aca="false">I48*$P$2</f>
        <v>101.6</v>
      </c>
      <c r="M48" s="43" t="n">
        <f aca="false">L48/(E48/12)</f>
        <v>0.0469211822660098</v>
      </c>
      <c r="N48" s="44" t="n">
        <f aca="false">IF(F48="","",E48/F48-1)</f>
        <v>0.194666666666667</v>
      </c>
      <c r="O48" s="44" t="n">
        <f aca="false">IFERROR(SUMIFS(Dati_Case!$E$2:$E$1061,Dati_Case!$B$2:$B$1061,A48,Dati_Case!$A$2:$A$1061,2024)/H48-1,"")</f>
        <v>0.0142857142857142</v>
      </c>
      <c r="P48" s="45" t="n">
        <f aca="false">IF(K48="","",RANK(K48,$K$5:$K$111,1))</f>
        <v>91</v>
      </c>
    </row>
    <row r="49" customFormat="false" ht="15" hidden="false" customHeight="false" outlineLevel="0" collapsed="false">
      <c r="A49" s="8" t="s">
        <v>196</v>
      </c>
      <c r="B49" s="8" t="s">
        <v>197</v>
      </c>
      <c r="C49" s="8" t="s">
        <v>179</v>
      </c>
      <c r="D49" s="8" t="s">
        <v>73</v>
      </c>
      <c r="E49" s="38" t="n">
        <v>21481</v>
      </c>
      <c r="F49" s="38" t="n">
        <v>17552</v>
      </c>
      <c r="G49" s="38" t="n">
        <v>1436</v>
      </c>
      <c r="H49" s="38" t="n">
        <v>1488</v>
      </c>
      <c r="I49" s="39" t="n">
        <v>2.025</v>
      </c>
      <c r="J49" s="40" t="n">
        <f aca="false">IF(G49="","",G49*$N$2)</f>
        <v>114880</v>
      </c>
      <c r="K49" s="41" t="n">
        <f aca="false">IF(G49="","",J49/E49)</f>
        <v>5.34798193752619</v>
      </c>
      <c r="L49" s="42" t="n">
        <f aca="false">I49*$P$2</f>
        <v>101.25</v>
      </c>
      <c r="M49" s="43" t="n">
        <f aca="false">L49/(E49/12)</f>
        <v>0.0565616125878684</v>
      </c>
      <c r="N49" s="44" t="n">
        <f aca="false">IF(F49="","",E49/F49-1)</f>
        <v>0.223849134001823</v>
      </c>
      <c r="O49" s="44" t="n">
        <f aca="false">IFERROR(SUMIFS(Dati_Case!$E$2:$E$1061,Dati_Case!$B$2:$B$1061,A49,Dati_Case!$A$2:$A$1061,2024)/H49-1,"")</f>
        <v>-0.0342741935483871</v>
      </c>
      <c r="P49" s="45" t="n">
        <f aca="false">IF(K49="","",RANK(K49,$K$5:$K$111,1))</f>
        <v>86</v>
      </c>
    </row>
    <row r="50" customFormat="false" ht="15" hidden="false" customHeight="false" outlineLevel="0" collapsed="false">
      <c r="A50" s="8" t="s">
        <v>198</v>
      </c>
      <c r="B50" s="8" t="s">
        <v>199</v>
      </c>
      <c r="C50" s="8" t="s">
        <v>114</v>
      </c>
      <c r="D50" s="8" t="s">
        <v>74</v>
      </c>
      <c r="E50" s="38" t="n">
        <v>19524</v>
      </c>
      <c r="F50" s="38" t="n">
        <v>15607</v>
      </c>
      <c r="G50" s="38" t="n">
        <v>761</v>
      </c>
      <c r="H50" s="38" t="n">
        <v>747</v>
      </c>
      <c r="I50" s="39" t="n">
        <v>2.064</v>
      </c>
      <c r="J50" s="40" t="n">
        <f aca="false">IF(G50="","",G50*$N$2)</f>
        <v>60880</v>
      </c>
      <c r="K50" s="41" t="n">
        <f aca="false">IF(G50="","",J50/E50)</f>
        <v>3.11821348084409</v>
      </c>
      <c r="L50" s="42" t="n">
        <f aca="false">I50*$P$2</f>
        <v>103.2</v>
      </c>
      <c r="M50" s="43" t="n">
        <f aca="false">L50/(E50/12)</f>
        <v>0.0634296250768285</v>
      </c>
      <c r="N50" s="44" t="n">
        <f aca="false">IF(F50="","",E50/F50-1)</f>
        <v>0.250977125648747</v>
      </c>
      <c r="O50" s="44" t="n">
        <f aca="false">IFERROR(SUMIFS(Dati_Case!$E$2:$E$1061,Dati_Case!$B$2:$B$1061,A50,Dati_Case!$A$2:$A$1061,2024)/H50-1,"")</f>
        <v>0</v>
      </c>
      <c r="P50" s="45" t="n">
        <f aca="false">IF(K50="","",RANK(K50,$K$5:$K$111,1))</f>
        <v>28</v>
      </c>
    </row>
    <row r="51" customFormat="false" ht="15" hidden="false" customHeight="false" outlineLevel="0" collapsed="false">
      <c r="A51" s="8" t="s">
        <v>200</v>
      </c>
      <c r="B51" s="8" t="s">
        <v>201</v>
      </c>
      <c r="C51" s="8" t="s">
        <v>124</v>
      </c>
      <c r="D51" s="8" t="s">
        <v>72</v>
      </c>
      <c r="E51" s="38" t="n">
        <v>29538</v>
      </c>
      <c r="F51" s="38" t="n">
        <v>24742</v>
      </c>
      <c r="G51" s="38" t="n">
        <v>1277</v>
      </c>
      <c r="H51" s="38" t="n">
        <v>1252</v>
      </c>
      <c r="I51" s="39" t="n">
        <v>2.025</v>
      </c>
      <c r="J51" s="40" t="n">
        <f aca="false">IF(G51="","",G51*$N$2)</f>
        <v>102160</v>
      </c>
      <c r="K51" s="41" t="n">
        <f aca="false">IF(G51="","",J51/E51)</f>
        <v>3.45859570722459</v>
      </c>
      <c r="L51" s="42" t="n">
        <f aca="false">I51*$P$2</f>
        <v>101.25</v>
      </c>
      <c r="M51" s="43" t="n">
        <f aca="false">L51/(E51/12)</f>
        <v>0.0411334552102377</v>
      </c>
      <c r="N51" s="44" t="n">
        <f aca="false">IF(F51="","",E51/F51-1)</f>
        <v>0.19384043327136</v>
      </c>
      <c r="O51" s="44" t="n">
        <f aca="false">IFERROR(SUMIFS(Dati_Case!$E$2:$E$1061,Dati_Case!$B$2:$B$1061,A51,Dati_Case!$A$2:$A$1061,2024)/H51-1,"")</f>
        <v>-0.0039936102236422</v>
      </c>
      <c r="P51" s="45" t="n">
        <f aca="false">IF(K51="","",RANK(K51,$K$5:$K$111,1))</f>
        <v>41</v>
      </c>
    </row>
    <row r="52" customFormat="false" ht="15" hidden="false" customHeight="false" outlineLevel="0" collapsed="false">
      <c r="A52" s="8" t="s">
        <v>202</v>
      </c>
      <c r="B52" s="8" t="s">
        <v>203</v>
      </c>
      <c r="C52" s="8" t="s">
        <v>104</v>
      </c>
      <c r="D52" s="8" t="s">
        <v>73</v>
      </c>
      <c r="E52" s="38" t="n">
        <v>25408</v>
      </c>
      <c r="F52" s="38" t="n">
        <v>21458</v>
      </c>
      <c r="G52" s="38" t="n">
        <v>1987</v>
      </c>
      <c r="H52" s="38" t="n">
        <v>2037</v>
      </c>
      <c r="I52" s="39" t="n">
        <v>2.046</v>
      </c>
      <c r="J52" s="40" t="n">
        <f aca="false">IF(G52="","",G52*$N$2)</f>
        <v>158960</v>
      </c>
      <c r="K52" s="41" t="n">
        <f aca="false">IF(G52="","",J52/E52)</f>
        <v>6.25629722921914</v>
      </c>
      <c r="L52" s="42" t="n">
        <f aca="false">I52*$P$2</f>
        <v>102.3</v>
      </c>
      <c r="M52" s="43" t="n">
        <f aca="false">L52/(E52/12)</f>
        <v>0.0483154911838791</v>
      </c>
      <c r="N52" s="44" t="n">
        <f aca="false">IF(F52="","",E52/F52-1)</f>
        <v>0.184080529406282</v>
      </c>
      <c r="O52" s="44" t="n">
        <f aca="false">IFERROR(SUMIFS(Dati_Case!$E$2:$E$1061,Dati_Case!$B$2:$B$1061,A52,Dati_Case!$A$2:$A$1061,2024)/H52-1,"")</f>
        <v>-0.0304369170348552</v>
      </c>
      <c r="P52" s="45" t="n">
        <f aca="false">IF(K52="","",RANK(K52,$K$5:$K$111,1))</f>
        <v>96</v>
      </c>
    </row>
    <row r="53" customFormat="false" ht="15" hidden="false" customHeight="false" outlineLevel="0" collapsed="false">
      <c r="A53" s="8" t="s">
        <v>204</v>
      </c>
      <c r="B53" s="8" t="s">
        <v>205</v>
      </c>
      <c r="C53" s="8" t="s">
        <v>124</v>
      </c>
      <c r="D53" s="8" t="s">
        <v>72</v>
      </c>
      <c r="E53" s="38" t="n">
        <v>26867</v>
      </c>
      <c r="F53" s="38" t="n">
        <v>23028</v>
      </c>
      <c r="G53" s="38" t="n">
        <v>1236</v>
      </c>
      <c r="H53" s="38" t="n">
        <v>1115</v>
      </c>
      <c r="I53" s="39" t="n">
        <v>2.012</v>
      </c>
      <c r="J53" s="40" t="n">
        <f aca="false">IF(G53="","",G53*$N$2)</f>
        <v>98880</v>
      </c>
      <c r="K53" s="41" t="n">
        <f aca="false">IF(G53="","",J53/E53)</f>
        <v>3.68035136040496</v>
      </c>
      <c r="L53" s="42" t="n">
        <f aca="false">I53*$P$2</f>
        <v>100.6</v>
      </c>
      <c r="M53" s="43" t="n">
        <f aca="false">L53/(E53/12)</f>
        <v>0.0449324450068858</v>
      </c>
      <c r="N53" s="44" t="n">
        <f aca="false">IF(F53="","",E53/F53-1)</f>
        <v>0.166710092061838</v>
      </c>
      <c r="O53" s="44" t="n">
        <f aca="false">IFERROR(SUMIFS(Dati_Case!$E$2:$E$1061,Dati_Case!$B$2:$B$1061,A53,Dati_Case!$A$2:$A$1061,2024)/H53-1,"")</f>
        <v>0.0582959641255605</v>
      </c>
      <c r="P53" s="45" t="n">
        <f aca="false">IF(K53="","",RANK(K53,$K$5:$K$111,1))</f>
        <v>48</v>
      </c>
    </row>
    <row r="54" customFormat="false" ht="15" hidden="false" customHeight="false" outlineLevel="0" collapsed="false">
      <c r="A54" s="8" t="s">
        <v>206</v>
      </c>
      <c r="B54" s="8" t="s">
        <v>207</v>
      </c>
      <c r="C54" s="8" t="s">
        <v>104</v>
      </c>
      <c r="D54" s="8" t="s">
        <v>73</v>
      </c>
      <c r="E54" s="38" t="n">
        <v>25430</v>
      </c>
      <c r="F54" s="38" t="n">
        <v>21156</v>
      </c>
      <c r="G54" s="38" t="n">
        <v>1832</v>
      </c>
      <c r="H54" s="38" t="n">
        <v>2266</v>
      </c>
      <c r="I54" s="39" t="n">
        <v>2.04</v>
      </c>
      <c r="J54" s="40" t="n">
        <f aca="false">IF(G54="","",G54*$N$2)</f>
        <v>146560</v>
      </c>
      <c r="K54" s="41" t="n">
        <f aca="false">IF(G54="","",J54/E54)</f>
        <v>5.76327172630751</v>
      </c>
      <c r="L54" s="42" t="n">
        <f aca="false">I54*$P$2</f>
        <v>102</v>
      </c>
      <c r="M54" s="43" t="n">
        <f aca="false">L54/(E54/12)</f>
        <v>0.0481321274085726</v>
      </c>
      <c r="N54" s="44" t="n">
        <f aca="false">IF(F54="","",E54/F54-1)</f>
        <v>0.202023066742295</v>
      </c>
      <c r="O54" s="44" t="n">
        <f aca="false">IFERROR(SUMIFS(Dati_Case!$E$2:$E$1061,Dati_Case!$B$2:$B$1061,A54,Dati_Case!$A$2:$A$1061,2024)/H54-1,"")</f>
        <v>-0.193292144748455</v>
      </c>
      <c r="P54" s="45" t="n">
        <f aca="false">IF(K54="","",RANK(K54,$K$5:$K$111,1))</f>
        <v>90</v>
      </c>
    </row>
    <row r="55" customFormat="false" ht="15" hidden="false" customHeight="false" outlineLevel="0" collapsed="false">
      <c r="A55" s="8" t="s">
        <v>208</v>
      </c>
      <c r="B55" s="8" t="s">
        <v>209</v>
      </c>
      <c r="C55" s="8" t="s">
        <v>98</v>
      </c>
      <c r="D55" s="8" t="s">
        <v>73</v>
      </c>
      <c r="E55" s="38" t="n">
        <v>23472</v>
      </c>
      <c r="F55" s="38" t="n">
        <v>19082</v>
      </c>
      <c r="G55" s="38" t="n">
        <v>1200</v>
      </c>
      <c r="H55" s="38" t="n">
        <v>1165</v>
      </c>
      <c r="I55" s="39" t="n">
        <v>2.019</v>
      </c>
      <c r="J55" s="40" t="n">
        <f aca="false">IF(G55="","",G55*$N$2)</f>
        <v>96000</v>
      </c>
      <c r="K55" s="41" t="n">
        <f aca="false">IF(G55="","",J55/E55)</f>
        <v>4.08997955010225</v>
      </c>
      <c r="L55" s="42" t="n">
        <f aca="false">I55*$P$2</f>
        <v>100.95</v>
      </c>
      <c r="M55" s="43" t="n">
        <f aca="false">L55/(E55/12)</f>
        <v>0.0516104294478528</v>
      </c>
      <c r="N55" s="44" t="n">
        <f aca="false">IF(F55="","",E55/F55-1)</f>
        <v>0.230059742165391</v>
      </c>
      <c r="O55" s="44" t="n">
        <f aca="false">IFERROR(SUMIFS(Dati_Case!$E$2:$E$1061,Dati_Case!$B$2:$B$1061,A55,Dati_Case!$A$2:$A$1061,2024)/H55-1,"")</f>
        <v>0.0128755364806867</v>
      </c>
      <c r="P55" s="45" t="n">
        <f aca="false">IF(K55="","",RANK(K55,$K$5:$K$111,1))</f>
        <v>61</v>
      </c>
    </row>
    <row r="56" customFormat="false" ht="15" hidden="false" customHeight="false" outlineLevel="0" collapsed="false">
      <c r="A56" s="8" t="s">
        <v>210</v>
      </c>
      <c r="B56" s="8" t="s">
        <v>211</v>
      </c>
      <c r="C56" s="8" t="s">
        <v>124</v>
      </c>
      <c r="D56" s="8" t="s">
        <v>72</v>
      </c>
      <c r="E56" s="38" t="n">
        <v>26226</v>
      </c>
      <c r="F56" s="38" t="n">
        <v>21485</v>
      </c>
      <c r="G56" s="38" t="n">
        <v>877</v>
      </c>
      <c r="H56" s="38" t="n">
        <v>829</v>
      </c>
      <c r="I56" s="39" t="n">
        <v>2.024</v>
      </c>
      <c r="J56" s="40" t="n">
        <f aca="false">IF(G56="","",G56*$N$2)</f>
        <v>70160</v>
      </c>
      <c r="K56" s="41" t="n">
        <f aca="false">IF(G56="","",J56/E56)</f>
        <v>2.67520780904446</v>
      </c>
      <c r="L56" s="42" t="n">
        <f aca="false">I56*$P$2</f>
        <v>101.2</v>
      </c>
      <c r="M56" s="43" t="n">
        <f aca="false">L56/(E56/12)</f>
        <v>0.0463051933196065</v>
      </c>
      <c r="N56" s="44" t="n">
        <f aca="false">IF(F56="","",E56/F56-1)</f>
        <v>0.220665580637654</v>
      </c>
      <c r="O56" s="44" t="n">
        <f aca="false">IFERROR(SUMIFS(Dati_Case!$E$2:$E$1061,Dati_Case!$B$2:$B$1061,A56,Dati_Case!$A$2:$A$1061,2024)/H56-1,"")</f>
        <v>0.014475271411339</v>
      </c>
      <c r="P56" s="45" t="n">
        <f aca="false">IF(K56="","",RANK(K56,$K$5:$K$111,1))</f>
        <v>12</v>
      </c>
    </row>
    <row r="57" customFormat="false" ht="15" hidden="false" customHeight="false" outlineLevel="0" collapsed="false">
      <c r="A57" s="8" t="s">
        <v>212</v>
      </c>
      <c r="B57" s="8" t="s">
        <v>213</v>
      </c>
      <c r="C57" s="8" t="s">
        <v>104</v>
      </c>
      <c r="D57" s="8" t="s">
        <v>73</v>
      </c>
      <c r="E57" s="38" t="n">
        <v>24065</v>
      </c>
      <c r="F57" s="38" t="n">
        <v>20317</v>
      </c>
      <c r="G57" s="38" t="n">
        <v>1427</v>
      </c>
      <c r="H57" s="38" t="n">
        <v>1743</v>
      </c>
      <c r="I57" s="39" t="n">
        <v>2.032</v>
      </c>
      <c r="J57" s="40" t="n">
        <f aca="false">IF(G57="","",G57*$N$2)</f>
        <v>114160</v>
      </c>
      <c r="K57" s="41" t="n">
        <f aca="false">IF(G57="","",J57/E57)</f>
        <v>4.74381882401828</v>
      </c>
      <c r="L57" s="42" t="n">
        <f aca="false">I57*$P$2</f>
        <v>101.6</v>
      </c>
      <c r="M57" s="43" t="n">
        <f aca="false">L57/(E57/12)</f>
        <v>0.050662788281737</v>
      </c>
      <c r="N57" s="44" t="n">
        <f aca="false">IF(F57="","",E57/F57-1)</f>
        <v>0.184476054535611</v>
      </c>
      <c r="O57" s="44" t="n">
        <f aca="false">IFERROR(SUMIFS(Dati_Case!$E$2:$E$1061,Dati_Case!$B$2:$B$1061,A57,Dati_Case!$A$2:$A$1061,2024)/H57-1,"")</f>
        <v>-0.146873207114171</v>
      </c>
      <c r="P57" s="45" t="n">
        <f aca="false">IF(K57="","",RANK(K57,$K$5:$K$111,1))</f>
        <v>76</v>
      </c>
    </row>
    <row r="58" customFormat="false" ht="15" hidden="false" customHeight="false" outlineLevel="0" collapsed="false">
      <c r="A58" s="8" t="s">
        <v>214</v>
      </c>
      <c r="B58" s="8" t="s">
        <v>215</v>
      </c>
      <c r="C58" s="8" t="s">
        <v>216</v>
      </c>
      <c r="D58" s="8" t="s">
        <v>74</v>
      </c>
      <c r="E58" s="38" t="n">
        <v>19643</v>
      </c>
      <c r="F58" s="38" t="n">
        <v>15824</v>
      </c>
      <c r="G58" s="38" t="n">
        <v>904</v>
      </c>
      <c r="H58" s="38" t="n">
        <v>876</v>
      </c>
      <c r="I58" s="39" t="n">
        <v>2.088</v>
      </c>
      <c r="J58" s="40" t="n">
        <f aca="false">IF(G58="","",G58*$N$2)</f>
        <v>72320</v>
      </c>
      <c r="K58" s="41" t="n">
        <f aca="false">IF(G58="","",J58/E58)</f>
        <v>3.68171867840961</v>
      </c>
      <c r="L58" s="42" t="n">
        <f aca="false">I58*$P$2</f>
        <v>104.4</v>
      </c>
      <c r="M58" s="43" t="n">
        <f aca="false">L58/(E58/12)</f>
        <v>0.0637784452476709</v>
      </c>
      <c r="N58" s="44" t="n">
        <f aca="false">IF(F58="","",E58/F58-1)</f>
        <v>0.241342264914055</v>
      </c>
      <c r="O58" s="44" t="n">
        <f aca="false">IFERROR(SUMIFS(Dati_Case!$E$2:$E$1061,Dati_Case!$B$2:$B$1061,A58,Dati_Case!$A$2:$A$1061,2024)/H58-1,"")</f>
        <v>0.0285388127853881</v>
      </c>
      <c r="P58" s="45" t="n">
        <f aca="false">IF(K58="","",RANK(K58,$K$5:$K$111,1))</f>
        <v>49</v>
      </c>
    </row>
    <row r="59" customFormat="false" ht="15" hidden="false" customHeight="false" outlineLevel="0" collapsed="false">
      <c r="A59" s="8" t="s">
        <v>217</v>
      </c>
      <c r="B59" s="8" t="s">
        <v>218</v>
      </c>
      <c r="C59" s="8" t="s">
        <v>92</v>
      </c>
      <c r="D59" s="8" t="s">
        <v>75</v>
      </c>
      <c r="E59" s="38" t="n">
        <v>20881</v>
      </c>
      <c r="F59" s="38" t="n">
        <v>16962</v>
      </c>
      <c r="G59" s="38" t="n">
        <v>938</v>
      </c>
      <c r="H59" s="38" t="n">
        <v>1091</v>
      </c>
      <c r="I59" s="39" t="n">
        <v>2.039</v>
      </c>
      <c r="J59" s="40" t="n">
        <f aca="false">IF(G59="","",G59*$N$2)</f>
        <v>75040</v>
      </c>
      <c r="K59" s="41" t="n">
        <f aca="false">IF(G59="","",J59/E59)</f>
        <v>3.59369761984579</v>
      </c>
      <c r="L59" s="42" t="n">
        <f aca="false">I59*$P$2</f>
        <v>101.95</v>
      </c>
      <c r="M59" s="43" t="n">
        <f aca="false">L59/(E59/12)</f>
        <v>0.0585891480293089</v>
      </c>
      <c r="N59" s="44" t="n">
        <f aca="false">IF(F59="","",E59/F59-1)</f>
        <v>0.231045867232638</v>
      </c>
      <c r="O59" s="44" t="n">
        <f aca="false">IFERROR(SUMIFS(Dati_Case!$E$2:$E$1061,Dati_Case!$B$2:$B$1061,A59,Dati_Case!$A$2:$A$1061,2024)/H59-1,"")</f>
        <v>-0.14115490375802</v>
      </c>
      <c r="P59" s="45" t="n">
        <f aca="false">IF(K59="","",RANK(K59,$K$5:$K$111,1))</f>
        <v>45</v>
      </c>
    </row>
    <row r="60" customFormat="false" ht="15" hidden="false" customHeight="false" outlineLevel="0" collapsed="false">
      <c r="A60" s="8" t="s">
        <v>219</v>
      </c>
      <c r="B60" s="8" t="s">
        <v>50</v>
      </c>
      <c r="C60" s="8" t="s">
        <v>124</v>
      </c>
      <c r="D60" s="8" t="s">
        <v>72</v>
      </c>
      <c r="E60" s="38" t="n">
        <v>33959</v>
      </c>
      <c r="F60" s="38" t="n">
        <v>28529</v>
      </c>
      <c r="G60" s="38" t="n">
        <v>3604</v>
      </c>
      <c r="H60" s="38" t="n">
        <v>2666</v>
      </c>
      <c r="I60" s="39" t="n">
        <v>2.018</v>
      </c>
      <c r="J60" s="40" t="n">
        <f aca="false">IF(G60="","",G60*$N$2)</f>
        <v>288320</v>
      </c>
      <c r="K60" s="41" t="n">
        <f aca="false">IF(G60="","",J60/E60)</f>
        <v>8.49023822845196</v>
      </c>
      <c r="L60" s="42" t="n">
        <f aca="false">I60*$P$2</f>
        <v>100.9</v>
      </c>
      <c r="M60" s="43" t="n">
        <f aca="false">L60/(E60/12)</f>
        <v>0.0356547601519479</v>
      </c>
      <c r="N60" s="44" t="n">
        <f aca="false">IF(F60="","",E60/F60-1)</f>
        <v>0.190332643976305</v>
      </c>
      <c r="O60" s="44" t="n">
        <f aca="false">IFERROR(SUMIFS(Dati_Case!$E$2:$E$1061,Dati_Case!$B$2:$B$1061,A60,Dati_Case!$A$2:$A$1061,2024)/H60-1,"")</f>
        <v>0.27794448612153</v>
      </c>
      <c r="P60" s="45" t="n">
        <f aca="false">IF(K60="","",RANK(K60,$K$5:$K$111,1))</f>
        <v>103</v>
      </c>
    </row>
    <row r="61" customFormat="false" ht="15" hidden="false" customHeight="false" outlineLevel="0" collapsed="false">
      <c r="A61" s="8" t="s">
        <v>220</v>
      </c>
      <c r="B61" s="8" t="s">
        <v>221</v>
      </c>
      <c r="C61" s="8" t="s">
        <v>129</v>
      </c>
      <c r="D61" s="8" t="s">
        <v>72</v>
      </c>
      <c r="E61" s="38" t="n">
        <v>28273</v>
      </c>
      <c r="F61" s="38" t="n">
        <v>23714</v>
      </c>
      <c r="G61" s="38" t="n">
        <v>1323</v>
      </c>
      <c r="H61" s="38" t="n">
        <v>1225</v>
      </c>
      <c r="I61" s="39" t="n">
        <v>2.046</v>
      </c>
      <c r="J61" s="40" t="n">
        <f aca="false">IF(G61="","",G61*$N$2)</f>
        <v>105840</v>
      </c>
      <c r="K61" s="41" t="n">
        <f aca="false">IF(G61="","",J61/E61)</f>
        <v>3.74350086655113</v>
      </c>
      <c r="L61" s="42" t="n">
        <f aca="false">I61*$P$2</f>
        <v>102.3</v>
      </c>
      <c r="M61" s="43" t="n">
        <f aca="false">L61/(E61/12)</f>
        <v>0.0434195168535352</v>
      </c>
      <c r="N61" s="44" t="n">
        <f aca="false">IF(F61="","",E61/F61-1)</f>
        <v>0.192249304208485</v>
      </c>
      <c r="O61" s="44" t="n">
        <f aca="false">IFERROR(SUMIFS(Dati_Case!$E$2:$E$1061,Dati_Case!$B$2:$B$1061,A61,Dati_Case!$A$2:$A$1061,2024)/H61-1,"")</f>
        <v>0.0342857142857143</v>
      </c>
      <c r="P61" s="45" t="n">
        <f aca="false">IF(K61="","",RANK(K61,$K$5:$K$111,1))</f>
        <v>52</v>
      </c>
    </row>
    <row r="62" customFormat="false" ht="15" hidden="false" customHeight="false" outlineLevel="0" collapsed="false">
      <c r="A62" s="8" t="s">
        <v>222</v>
      </c>
      <c r="B62" s="8" t="s">
        <v>223</v>
      </c>
      <c r="C62" s="8" t="s">
        <v>124</v>
      </c>
      <c r="D62" s="8" t="s">
        <v>72</v>
      </c>
      <c r="E62" s="38" t="n">
        <v>29495</v>
      </c>
      <c r="F62" s="38" t="n">
        <v>25243</v>
      </c>
      <c r="G62" s="38" t="n">
        <v>1881</v>
      </c>
      <c r="H62" s="38" t="n">
        <v>1674</v>
      </c>
      <c r="I62" s="39" t="n">
        <v>2.014</v>
      </c>
      <c r="J62" s="40" t="n">
        <f aca="false">IF(G62="","",G62*$N$2)</f>
        <v>150480</v>
      </c>
      <c r="K62" s="41" t="n">
        <f aca="false">IF(G62="","",J62/E62)</f>
        <v>5.10188167486015</v>
      </c>
      <c r="L62" s="42" t="n">
        <f aca="false">I62*$P$2</f>
        <v>100.7</v>
      </c>
      <c r="M62" s="43" t="n">
        <f aca="false">L62/(E62/12)</f>
        <v>0.0409696558738769</v>
      </c>
      <c r="N62" s="44" t="n">
        <f aca="false">IF(F62="","",E62/F62-1)</f>
        <v>0.168442736600246</v>
      </c>
      <c r="O62" s="44" t="n">
        <f aca="false">IFERROR(SUMIFS(Dati_Case!$E$2:$E$1061,Dati_Case!$B$2:$B$1061,A62,Dati_Case!$A$2:$A$1061,2024)/H62-1,"")</f>
        <v>0.0931899641577061</v>
      </c>
      <c r="P62" s="45" t="n">
        <f aca="false">IF(K62="","",RANK(K62,$K$5:$K$111,1))</f>
        <v>81</v>
      </c>
    </row>
    <row r="63" customFormat="false" ht="15" hidden="false" customHeight="false" outlineLevel="0" collapsed="false">
      <c r="A63" s="8" t="s">
        <v>224</v>
      </c>
      <c r="B63" s="8" t="s">
        <v>51</v>
      </c>
      <c r="C63" s="8" t="s">
        <v>111</v>
      </c>
      <c r="D63" s="8" t="s">
        <v>74</v>
      </c>
      <c r="E63" s="38" t="n">
        <v>21968</v>
      </c>
      <c r="F63" s="38" t="n">
        <v>18374</v>
      </c>
      <c r="G63" s="38" t="n">
        <v>1698</v>
      </c>
      <c r="H63" s="38" t="n">
        <v>1719</v>
      </c>
      <c r="I63" s="39" t="n">
        <v>2.053</v>
      </c>
      <c r="J63" s="40" t="n">
        <f aca="false">IF(G63="","",G63*$N$2)</f>
        <v>135840</v>
      </c>
      <c r="K63" s="41" t="n">
        <f aca="false">IF(G63="","",J63/E63)</f>
        <v>6.18353969410051</v>
      </c>
      <c r="L63" s="42" t="n">
        <f aca="false">I63*$P$2</f>
        <v>102.65</v>
      </c>
      <c r="M63" s="43" t="n">
        <f aca="false">L63/(E63/12)</f>
        <v>0.0560724690458849</v>
      </c>
      <c r="N63" s="44" t="n">
        <f aca="false">IF(F63="","",E63/F63-1)</f>
        <v>0.195602481767715</v>
      </c>
      <c r="O63" s="44" t="n">
        <f aca="false">IFERROR(SUMIFS(Dati_Case!$E$2:$E$1061,Dati_Case!$B$2:$B$1061,A63,Dati_Case!$A$2:$A$1061,2024)/H63-1,"")</f>
        <v>-0.0191972076788831</v>
      </c>
      <c r="P63" s="45" t="n">
        <f aca="false">IF(K63="","",RANK(K63,$K$5:$K$111,1))</f>
        <v>95</v>
      </c>
    </row>
    <row r="64" customFormat="false" ht="15" hidden="false" customHeight="false" outlineLevel="0" collapsed="false">
      <c r="A64" s="8" t="s">
        <v>225</v>
      </c>
      <c r="B64" s="8" t="s">
        <v>226</v>
      </c>
      <c r="C64" s="8" t="s">
        <v>95</v>
      </c>
      <c r="D64" s="8" t="s">
        <v>72</v>
      </c>
      <c r="E64" s="38" t="n">
        <v>26571</v>
      </c>
      <c r="F64" s="38" t="n">
        <v>23227</v>
      </c>
      <c r="G64" s="38" t="n">
        <v>1070</v>
      </c>
      <c r="H64" s="38" t="n">
        <v>946</v>
      </c>
      <c r="I64" s="39" t="n">
        <v>2.02</v>
      </c>
      <c r="J64" s="40" t="n">
        <f aca="false">IF(G64="","",G64*$N$2)</f>
        <v>85600</v>
      </c>
      <c r="K64" s="41" t="n">
        <f aca="false">IF(G64="","",J64/E64)</f>
        <v>3.22155733694629</v>
      </c>
      <c r="L64" s="42" t="n">
        <f aca="false">I64*$P$2</f>
        <v>101</v>
      </c>
      <c r="M64" s="43" t="n">
        <f aca="false">L64/(E64/12)</f>
        <v>0.0456136389296602</v>
      </c>
      <c r="N64" s="44" t="n">
        <f aca="false">IF(F64="","",E64/F64-1)</f>
        <v>0.143970379299953</v>
      </c>
      <c r="O64" s="44" t="n">
        <f aca="false">IFERROR(SUMIFS(Dati_Case!$E$2:$E$1061,Dati_Case!$B$2:$B$1061,A64,Dati_Case!$A$2:$A$1061,2024)/H64-1,"")</f>
        <v>0.0940803382663848</v>
      </c>
      <c r="P64" s="45" t="n">
        <f aca="false">IF(K64="","",RANK(K64,$K$5:$K$111,1))</f>
        <v>33</v>
      </c>
    </row>
    <row r="65" customFormat="false" ht="15" hidden="false" customHeight="false" outlineLevel="0" collapsed="false">
      <c r="A65" s="8" t="s">
        <v>227</v>
      </c>
      <c r="B65" s="8" t="s">
        <v>228</v>
      </c>
      <c r="C65" s="8" t="s">
        <v>139</v>
      </c>
      <c r="D65" s="8" t="s">
        <v>75</v>
      </c>
      <c r="E65" s="38" t="n">
        <v>19642</v>
      </c>
      <c r="F65" s="38"/>
      <c r="G65" s="38" t="n">
        <v>1235</v>
      </c>
      <c r="H65" s="38" t="n">
        <v>1226</v>
      </c>
      <c r="I65" s="39" t="n">
        <v>2.074</v>
      </c>
      <c r="J65" s="40" t="n">
        <f aca="false">IF(G65="","",G65*$N$2)</f>
        <v>98800</v>
      </c>
      <c r="K65" s="41" t="n">
        <f aca="false">IF(G65="","",J65/E65)</f>
        <v>5.03003767437125</v>
      </c>
      <c r="L65" s="42" t="n">
        <f aca="false">I65*$P$2</f>
        <v>103.7</v>
      </c>
      <c r="M65" s="43" t="n">
        <f aca="false">L65/(E65/12)</f>
        <v>0.0633540372670807</v>
      </c>
      <c r="N65" s="44" t="str">
        <f aca="false">IF(F65="","",E65/F65-1)</f>
        <v/>
      </c>
      <c r="O65" s="44" t="n">
        <f aca="false">IFERROR(SUMIFS(Dati_Case!$E$2:$E$1061,Dati_Case!$B$2:$B$1061,A65,Dati_Case!$A$2:$A$1061,2024)/H65-1,"")</f>
        <v>-0.0097879282218597</v>
      </c>
      <c r="P65" s="45" t="n">
        <f aca="false">IF(K65="","",RANK(K65,$K$5:$K$111,1))</f>
        <v>79</v>
      </c>
    </row>
    <row r="66" customFormat="false" ht="15" hidden="false" customHeight="false" outlineLevel="0" collapsed="false">
      <c r="A66" s="8" t="s">
        <v>229</v>
      </c>
      <c r="B66" s="8" t="s">
        <v>230</v>
      </c>
      <c r="C66" s="8" t="s">
        <v>139</v>
      </c>
      <c r="D66" s="8" t="s">
        <v>75</v>
      </c>
      <c r="E66" s="38" t="n">
        <v>19528</v>
      </c>
      <c r="F66" s="38"/>
      <c r="G66" s="38" t="n">
        <v>729</v>
      </c>
      <c r="H66" s="38" t="n">
        <v>699</v>
      </c>
      <c r="I66" s="39" t="n">
        <v>2.03</v>
      </c>
      <c r="J66" s="40" t="n">
        <f aca="false">IF(G66="","",G66*$N$2)</f>
        <v>58320</v>
      </c>
      <c r="K66" s="41" t="n">
        <f aca="false">IF(G66="","",J66/E66)</f>
        <v>2.98648095043015</v>
      </c>
      <c r="L66" s="42" t="n">
        <f aca="false">I66*$P$2</f>
        <v>101.5</v>
      </c>
      <c r="M66" s="43" t="n">
        <f aca="false">L66/(E66/12)</f>
        <v>0.0623719786972552</v>
      </c>
      <c r="N66" s="44" t="str">
        <f aca="false">IF(F66="","",E66/F66-1)</f>
        <v/>
      </c>
      <c r="O66" s="44" t="n">
        <f aca="false">IFERROR(SUMIFS(Dati_Case!$E$2:$E$1061,Dati_Case!$B$2:$B$1061,A66,Dati_Case!$A$2:$A$1061,2024)/H66-1,"")</f>
        <v>0.0343347639484979</v>
      </c>
      <c r="P66" s="45" t="n">
        <f aca="false">IF(K66="","",RANK(K66,$K$5:$K$111,1))</f>
        <v>24</v>
      </c>
    </row>
    <row r="67" customFormat="false" ht="15" hidden="false" customHeight="false" outlineLevel="0" collapsed="false">
      <c r="A67" s="8" t="s">
        <v>231</v>
      </c>
      <c r="B67" s="8" t="s">
        <v>232</v>
      </c>
      <c r="C67" s="8" t="s">
        <v>119</v>
      </c>
      <c r="D67" s="8" t="s">
        <v>72</v>
      </c>
      <c r="E67" s="38" t="n">
        <v>27623</v>
      </c>
      <c r="F67" s="38" t="n">
        <v>23044</v>
      </c>
      <c r="G67" s="38" t="n">
        <v>1249</v>
      </c>
      <c r="H67" s="38" t="n">
        <v>1291</v>
      </c>
      <c r="I67" s="39" t="n">
        <v>2.016</v>
      </c>
      <c r="J67" s="40" t="n">
        <f aca="false">IF(G67="","",G67*$N$2)</f>
        <v>99920</v>
      </c>
      <c r="K67" s="41" t="n">
        <f aca="false">IF(G67="","",J67/E67)</f>
        <v>3.61727545885675</v>
      </c>
      <c r="L67" s="42" t="n">
        <f aca="false">I67*$P$2</f>
        <v>100.8</v>
      </c>
      <c r="M67" s="43" t="n">
        <f aca="false">L67/(E67/12)</f>
        <v>0.0437895956268327</v>
      </c>
      <c r="N67" s="44" t="n">
        <f aca="false">IF(F67="","",E67/F67-1)</f>
        <v>0.198706821732338</v>
      </c>
      <c r="O67" s="44" t="n">
        <f aca="false">IFERROR(SUMIFS(Dati_Case!$E$2:$E$1061,Dati_Case!$B$2:$B$1061,A67,Dati_Case!$A$2:$A$1061,2024)/H67-1,"")</f>
        <v>-0.0356312935708752</v>
      </c>
      <c r="P67" s="45" t="n">
        <f aca="false">IF(K67="","",RANK(K67,$K$5:$K$111,1))</f>
        <v>46</v>
      </c>
    </row>
    <row r="68" customFormat="false" ht="15" hidden="false" customHeight="false" outlineLevel="0" collapsed="false">
      <c r="A68" s="8" t="s">
        <v>233</v>
      </c>
      <c r="B68" s="8" t="s">
        <v>234</v>
      </c>
      <c r="C68" s="8" t="s">
        <v>92</v>
      </c>
      <c r="D68" s="8" t="s">
        <v>75</v>
      </c>
      <c r="E68" s="38" t="n">
        <v>21878</v>
      </c>
      <c r="F68" s="38" t="n">
        <v>17823</v>
      </c>
      <c r="G68" s="38" t="n">
        <v>938</v>
      </c>
      <c r="H68" s="38" t="n">
        <v>967</v>
      </c>
      <c r="I68" s="39" t="n">
        <v>2.027</v>
      </c>
      <c r="J68" s="40" t="n">
        <f aca="false">IF(G68="","",G68*$N$2)</f>
        <v>75040</v>
      </c>
      <c r="K68" s="41" t="n">
        <f aca="false">IF(G68="","",J68/E68)</f>
        <v>3.42992960965353</v>
      </c>
      <c r="L68" s="42" t="n">
        <f aca="false">I68*$P$2</f>
        <v>101.35</v>
      </c>
      <c r="M68" s="43" t="n">
        <f aca="false">L68/(E68/12)</f>
        <v>0.055590090501874</v>
      </c>
      <c r="N68" s="44" t="n">
        <f aca="false">IF(F68="","",E68/F68-1)</f>
        <v>0.227515008696628</v>
      </c>
      <c r="O68" s="44" t="n">
        <f aca="false">IFERROR(SUMIFS(Dati_Case!$E$2:$E$1061,Dati_Case!$B$2:$B$1061,A68,Dati_Case!$A$2:$A$1061,2024)/H68-1,"")</f>
        <v>-0.0423991726990692</v>
      </c>
      <c r="P68" s="45" t="n">
        <f aca="false">IF(K68="","",RANK(K68,$K$5:$K$111,1))</f>
        <v>39</v>
      </c>
    </row>
    <row r="69" customFormat="false" ht="15" hidden="false" customHeight="false" outlineLevel="0" collapsed="false">
      <c r="A69" s="8" t="s">
        <v>235</v>
      </c>
      <c r="B69" s="8" t="s">
        <v>236</v>
      </c>
      <c r="C69" s="8" t="s">
        <v>129</v>
      </c>
      <c r="D69" s="8" t="s">
        <v>72</v>
      </c>
      <c r="E69" s="38" t="n">
        <v>29424</v>
      </c>
      <c r="F69" s="38" t="n">
        <v>24652</v>
      </c>
      <c r="G69" s="38" t="n">
        <v>1309</v>
      </c>
      <c r="H69" s="38" t="n">
        <v>1296</v>
      </c>
      <c r="I69" s="39" t="n">
        <v>2.029</v>
      </c>
      <c r="J69" s="40" t="n">
        <f aca="false">IF(G69="","",G69*$N$2)</f>
        <v>104720</v>
      </c>
      <c r="K69" s="41" t="n">
        <f aca="false">IF(G69="","",J69/E69)</f>
        <v>3.55899945622621</v>
      </c>
      <c r="L69" s="42" t="n">
        <f aca="false">I69*$P$2</f>
        <v>101.45</v>
      </c>
      <c r="M69" s="43" t="n">
        <f aca="false">L69/(E69/12)</f>
        <v>0.0413743882544861</v>
      </c>
      <c r="N69" s="44" t="n">
        <f aca="false">IF(F69="","",E69/F69-1)</f>
        <v>0.193574557845205</v>
      </c>
      <c r="O69" s="44" t="n">
        <f aca="false">IFERROR(SUMIFS(Dati_Case!$E$2:$E$1061,Dati_Case!$B$2:$B$1061,A69,Dati_Case!$A$2:$A$1061,2024)/H69-1,"")</f>
        <v>-0.0216049382716049</v>
      </c>
      <c r="P69" s="45" t="n">
        <f aca="false">IF(K69="","",RANK(K69,$K$5:$K$111,1))</f>
        <v>43</v>
      </c>
    </row>
    <row r="70" customFormat="false" ht="15" hidden="false" customHeight="false" outlineLevel="0" collapsed="false">
      <c r="A70" s="8" t="s">
        <v>237</v>
      </c>
      <c r="B70" s="8" t="s">
        <v>238</v>
      </c>
      <c r="C70" s="8" t="s">
        <v>124</v>
      </c>
      <c r="D70" s="8" t="s">
        <v>72</v>
      </c>
      <c r="E70" s="38" t="n">
        <v>26677</v>
      </c>
      <c r="F70" s="38" t="n">
        <v>22541</v>
      </c>
      <c r="G70" s="38" t="n">
        <v>1152</v>
      </c>
      <c r="H70" s="38" t="n">
        <v>1162</v>
      </c>
      <c r="I70" s="39" t="n">
        <v>2.032</v>
      </c>
      <c r="J70" s="40" t="n">
        <f aca="false">IF(G70="","",G70*$N$2)</f>
        <v>92160</v>
      </c>
      <c r="K70" s="41" t="n">
        <f aca="false">IF(G70="","",J70/E70)</f>
        <v>3.45466131873899</v>
      </c>
      <c r="L70" s="42" t="n">
        <f aca="false">I70*$P$2</f>
        <v>101.6</v>
      </c>
      <c r="M70" s="43" t="n">
        <f aca="false">L70/(E70/12)</f>
        <v>0.0457022903624845</v>
      </c>
      <c r="N70" s="44" t="n">
        <f aca="false">IF(F70="","",E70/F70-1)</f>
        <v>0.183487866554279</v>
      </c>
      <c r="O70" s="44" t="n">
        <f aca="false">IFERROR(SUMIFS(Dati_Case!$E$2:$E$1061,Dati_Case!$B$2:$B$1061,A70,Dati_Case!$A$2:$A$1061,2024)/H70-1,"")</f>
        <v>-0.0266781411359724</v>
      </c>
      <c r="P70" s="45" t="n">
        <f aca="false">IF(K70="","",RANK(K70,$K$5:$K$111,1))</f>
        <v>40</v>
      </c>
    </row>
    <row r="71" customFormat="false" ht="15" hidden="false" customHeight="false" outlineLevel="0" collapsed="false">
      <c r="A71" s="8" t="s">
        <v>239</v>
      </c>
      <c r="B71" s="8" t="s">
        <v>240</v>
      </c>
      <c r="C71" s="8" t="s">
        <v>241</v>
      </c>
      <c r="D71" s="8" t="s">
        <v>73</v>
      </c>
      <c r="E71" s="38" t="n">
        <v>24491</v>
      </c>
      <c r="F71" s="38" t="n">
        <v>19848</v>
      </c>
      <c r="G71" s="38" t="n">
        <v>893</v>
      </c>
      <c r="H71" s="38" t="n">
        <v>1096</v>
      </c>
      <c r="I71" s="39" t="n">
        <v>2.028</v>
      </c>
      <c r="J71" s="40" t="n">
        <f aca="false">IF(G71="","",G71*$N$2)</f>
        <v>71440</v>
      </c>
      <c r="K71" s="41" t="n">
        <f aca="false">IF(G71="","",J71/E71)</f>
        <v>2.91698991466253</v>
      </c>
      <c r="L71" s="42" t="n">
        <f aca="false">I71*$P$2</f>
        <v>101.4</v>
      </c>
      <c r="M71" s="43" t="n">
        <f aca="false">L71/(E71/12)</f>
        <v>0.0496835572251031</v>
      </c>
      <c r="N71" s="44" t="n">
        <f aca="false">IF(F71="","",E71/F71-1)</f>
        <v>0.233927851672713</v>
      </c>
      <c r="O71" s="44" t="n">
        <f aca="false">IFERROR(SUMIFS(Dati_Case!$E$2:$E$1061,Dati_Case!$B$2:$B$1061,A71,Dati_Case!$A$2:$A$1061,2024)/H71-1,"")</f>
        <v>-0.181569343065693</v>
      </c>
      <c r="P71" s="45" t="n">
        <f aca="false">IF(K71="","",RANK(K71,$K$5:$K$111,1))</f>
        <v>20</v>
      </c>
    </row>
    <row r="72" customFormat="false" ht="15" hidden="false" customHeight="false" outlineLevel="0" collapsed="false">
      <c r="A72" s="8" t="s">
        <v>242</v>
      </c>
      <c r="B72" s="8" t="s">
        <v>243</v>
      </c>
      <c r="C72" s="8" t="s">
        <v>98</v>
      </c>
      <c r="D72" s="8" t="s">
        <v>73</v>
      </c>
      <c r="E72" s="38" t="n">
        <v>24615</v>
      </c>
      <c r="F72" s="38" t="n">
        <v>19830</v>
      </c>
      <c r="G72" s="38" t="n">
        <v>1417</v>
      </c>
      <c r="H72" s="38" t="n">
        <v>1508</v>
      </c>
      <c r="I72" s="39" t="n">
        <v>2.019</v>
      </c>
      <c r="J72" s="40" t="n">
        <f aca="false">IF(G72="","",G72*$N$2)</f>
        <v>113360</v>
      </c>
      <c r="K72" s="41" t="n">
        <f aca="false">IF(G72="","",J72/E72)</f>
        <v>4.6053219581556</v>
      </c>
      <c r="L72" s="42" t="n">
        <f aca="false">I72*$P$2</f>
        <v>100.95</v>
      </c>
      <c r="M72" s="43" t="n">
        <f aca="false">L72/(E72/12)</f>
        <v>0.0492138939670932</v>
      </c>
      <c r="N72" s="44" t="n">
        <f aca="false">IF(F72="","",E72/F72-1)</f>
        <v>0.241301059001513</v>
      </c>
      <c r="O72" s="44" t="n">
        <f aca="false">IFERROR(SUMIFS(Dati_Case!$E$2:$E$1061,Dati_Case!$B$2:$B$1061,A72,Dati_Case!$A$2:$A$1061,2024)/H72-1,"")</f>
        <v>-0.0663129973474801</v>
      </c>
      <c r="P72" s="45" t="n">
        <f aca="false">IF(K72="","",RANK(K72,$K$5:$K$111,1))</f>
        <v>71</v>
      </c>
    </row>
    <row r="73" customFormat="false" ht="15" hidden="false" customHeight="false" outlineLevel="0" collapsed="false">
      <c r="A73" s="8" t="s">
        <v>244</v>
      </c>
      <c r="B73" s="8" t="s">
        <v>245</v>
      </c>
      <c r="C73" s="8" t="s">
        <v>154</v>
      </c>
      <c r="D73" s="8" t="s">
        <v>74</v>
      </c>
      <c r="E73" s="38" t="n">
        <v>23361</v>
      </c>
      <c r="F73" s="38" t="n">
        <v>18861</v>
      </c>
      <c r="G73" s="38" t="n">
        <v>1127</v>
      </c>
      <c r="H73" s="38" t="n">
        <v>1169</v>
      </c>
      <c r="I73" s="39" t="n">
        <v>2.019</v>
      </c>
      <c r="J73" s="40" t="n">
        <f aca="false">IF(G73="","",G73*$N$2)</f>
        <v>90160</v>
      </c>
      <c r="K73" s="41" t="n">
        <f aca="false">IF(G73="","",J73/E73)</f>
        <v>3.85942382603484</v>
      </c>
      <c r="L73" s="42" t="n">
        <f aca="false">I73*$P$2</f>
        <v>100.95</v>
      </c>
      <c r="M73" s="43" t="n">
        <f aca="false">L73/(E73/12)</f>
        <v>0.0518556568640041</v>
      </c>
      <c r="N73" s="44" t="n">
        <f aca="false">IF(F73="","",E73/F73-1)</f>
        <v>0.23858756163512</v>
      </c>
      <c r="O73" s="44" t="n">
        <f aca="false">IFERROR(SUMIFS(Dati_Case!$E$2:$E$1061,Dati_Case!$B$2:$B$1061,A73,Dati_Case!$A$2:$A$1061,2024)/H73-1,"")</f>
        <v>-0.0538922155688623</v>
      </c>
      <c r="P73" s="45" t="n">
        <f aca="false">IF(K73="","",RANK(K73,$K$5:$K$111,1))</f>
        <v>54</v>
      </c>
    </row>
    <row r="74" customFormat="false" ht="15" hidden="false" customHeight="false" outlineLevel="0" collapsed="false">
      <c r="A74" s="8" t="s">
        <v>246</v>
      </c>
      <c r="B74" s="8" t="s">
        <v>247</v>
      </c>
      <c r="C74" s="8" t="s">
        <v>129</v>
      </c>
      <c r="D74" s="8" t="s">
        <v>72</v>
      </c>
      <c r="E74" s="38" t="n">
        <v>27755</v>
      </c>
      <c r="F74" s="38" t="n">
        <v>22891</v>
      </c>
      <c r="G74" s="38" t="n">
        <v>1023</v>
      </c>
      <c r="H74" s="38" t="n">
        <v>1197</v>
      </c>
      <c r="I74" s="39" t="n">
        <v>2.019</v>
      </c>
      <c r="J74" s="40" t="n">
        <f aca="false">IF(G74="","",G74*$N$2)</f>
        <v>81840</v>
      </c>
      <c r="K74" s="41" t="n">
        <f aca="false">IF(G74="","",J74/E74)</f>
        <v>2.94865789947757</v>
      </c>
      <c r="L74" s="42" t="n">
        <f aca="false">I74*$P$2</f>
        <v>100.95</v>
      </c>
      <c r="M74" s="43" t="n">
        <f aca="false">L74/(E74/12)</f>
        <v>0.0436461898756981</v>
      </c>
      <c r="N74" s="44" t="n">
        <f aca="false">IF(F74="","",E74/F74-1)</f>
        <v>0.212485256214233</v>
      </c>
      <c r="O74" s="44" t="n">
        <f aca="false">IFERROR(SUMIFS(Dati_Case!$E$2:$E$1061,Dati_Case!$B$2:$B$1061,A74,Dati_Case!$A$2:$A$1061,2024)/H74-1,"")</f>
        <v>-0.14703425229741</v>
      </c>
      <c r="P74" s="45" t="n">
        <f aca="false">IF(K74="","",RANK(K74,$K$5:$K$111,1))</f>
        <v>21</v>
      </c>
    </row>
    <row r="75" customFormat="false" ht="15" hidden="false" customHeight="false" outlineLevel="0" collapsed="false">
      <c r="A75" s="8" t="s">
        <v>248</v>
      </c>
      <c r="B75" s="8" t="s">
        <v>249</v>
      </c>
      <c r="C75" s="8" t="s">
        <v>104</v>
      </c>
      <c r="D75" s="8" t="s">
        <v>73</v>
      </c>
      <c r="E75" s="38" t="n">
        <v>25499</v>
      </c>
      <c r="F75" s="38" t="n">
        <v>22015</v>
      </c>
      <c r="G75" s="38" t="n">
        <v>1494</v>
      </c>
      <c r="H75" s="38" t="n">
        <v>1581</v>
      </c>
      <c r="I75" s="39" t="n">
        <v>2.019</v>
      </c>
      <c r="J75" s="40" t="n">
        <f aca="false">IF(G75="","",G75*$N$2)</f>
        <v>119520</v>
      </c>
      <c r="K75" s="41" t="n">
        <f aca="false">IF(G75="","",J75/E75)</f>
        <v>4.68724263696616</v>
      </c>
      <c r="L75" s="42" t="n">
        <f aca="false">I75*$P$2</f>
        <v>100.95</v>
      </c>
      <c r="M75" s="43" t="n">
        <f aca="false">L75/(E75/12)</f>
        <v>0.0475077454017805</v>
      </c>
      <c r="N75" s="44" t="n">
        <f aca="false">IF(F75="","",E75/F75-1)</f>
        <v>0.158255734726323</v>
      </c>
      <c r="O75" s="44" t="n">
        <f aca="false">IFERROR(SUMIFS(Dati_Case!$E$2:$E$1061,Dati_Case!$B$2:$B$1061,A75,Dati_Case!$A$2:$A$1061,2024)/H75-1,"")</f>
        <v>-0.0708412397216951</v>
      </c>
      <c r="P75" s="45" t="n">
        <f aca="false">IF(K75="","",RANK(K75,$K$5:$K$111,1))</f>
        <v>74</v>
      </c>
    </row>
    <row r="76" customFormat="false" ht="15" hidden="false" customHeight="false" outlineLevel="0" collapsed="false">
      <c r="A76" s="8" t="s">
        <v>250</v>
      </c>
      <c r="B76" s="8" t="s">
        <v>251</v>
      </c>
      <c r="C76" s="8" t="s">
        <v>104</v>
      </c>
      <c r="D76" s="8" t="s">
        <v>73</v>
      </c>
      <c r="E76" s="38" t="n">
        <v>24012</v>
      </c>
      <c r="F76" s="38" t="n">
        <v>19966</v>
      </c>
      <c r="G76" s="38" t="n">
        <v>1339</v>
      </c>
      <c r="H76" s="38" t="n">
        <v>1562</v>
      </c>
      <c r="I76" s="39" t="n">
        <v>2.046</v>
      </c>
      <c r="J76" s="40" t="n">
        <f aca="false">IF(G76="","",G76*$N$2)</f>
        <v>107120</v>
      </c>
      <c r="K76" s="41" t="n">
        <f aca="false">IF(G76="","",J76/E76)</f>
        <v>4.46110278194236</v>
      </c>
      <c r="L76" s="42" t="n">
        <f aca="false">I76*$P$2</f>
        <v>102.3</v>
      </c>
      <c r="M76" s="43" t="n">
        <f aca="false">L76/(E76/12)</f>
        <v>0.0511244377811094</v>
      </c>
      <c r="N76" s="44" t="n">
        <f aca="false">IF(F76="","",E76/F76-1)</f>
        <v>0.202644495642592</v>
      </c>
      <c r="O76" s="44" t="n">
        <f aca="false">IFERROR(SUMIFS(Dati_Case!$E$2:$E$1061,Dati_Case!$B$2:$B$1061,A76,Dati_Case!$A$2:$A$1061,2024)/H76-1,"")</f>
        <v>-0.136363636363636</v>
      </c>
      <c r="P76" s="45" t="n">
        <f aca="false">IF(K76="","",RANK(K76,$K$5:$K$111,1))</f>
        <v>69</v>
      </c>
    </row>
    <row r="77" customFormat="false" ht="15" hidden="false" customHeight="false" outlineLevel="0" collapsed="false">
      <c r="A77" s="8" t="s">
        <v>252</v>
      </c>
      <c r="B77" s="8" t="s">
        <v>253</v>
      </c>
      <c r="C77" s="8" t="s">
        <v>185</v>
      </c>
      <c r="D77" s="8" t="s">
        <v>72</v>
      </c>
      <c r="E77" s="38" t="n">
        <v>26291</v>
      </c>
      <c r="F77" s="38" t="n">
        <v>21784</v>
      </c>
      <c r="G77" s="38" t="n">
        <v>877</v>
      </c>
      <c r="H77" s="38" t="n">
        <v>899</v>
      </c>
      <c r="I77" s="39" t="n">
        <v>2.03</v>
      </c>
      <c r="J77" s="40" t="n">
        <f aca="false">IF(G77="","",G77*$N$2)</f>
        <v>70160</v>
      </c>
      <c r="K77" s="41" t="n">
        <f aca="false">IF(G77="","",J77/E77)</f>
        <v>2.66859381537408</v>
      </c>
      <c r="L77" s="42" t="n">
        <f aca="false">I77*$P$2</f>
        <v>101.5</v>
      </c>
      <c r="M77" s="43" t="n">
        <f aca="false">L77/(E77/12)</f>
        <v>0.0463276406374805</v>
      </c>
      <c r="N77" s="44" t="n">
        <f aca="false">IF(F77="","",E77/F77-1)</f>
        <v>0.206894968784429</v>
      </c>
      <c r="O77" s="44" t="n">
        <f aca="false">IFERROR(SUMIFS(Dati_Case!$E$2:$E$1061,Dati_Case!$B$2:$B$1061,A77,Dati_Case!$A$2:$A$1061,2024)/H77-1,"")</f>
        <v>-0.0300333704115684</v>
      </c>
      <c r="P77" s="45" t="n">
        <f aca="false">IF(K77="","",RANK(K77,$K$5:$K$111,1))</f>
        <v>11</v>
      </c>
    </row>
    <row r="78" customFormat="false" ht="15" hidden="false" customHeight="false" outlineLevel="0" collapsed="false">
      <c r="A78" s="8" t="s">
        <v>254</v>
      </c>
      <c r="B78" s="8" t="s">
        <v>255</v>
      </c>
      <c r="C78" s="8" t="s">
        <v>216</v>
      </c>
      <c r="D78" s="8" t="s">
        <v>74</v>
      </c>
      <c r="E78" s="38" t="n">
        <v>20503</v>
      </c>
      <c r="F78" s="38" t="n">
        <v>16290</v>
      </c>
      <c r="G78" s="38" t="n">
        <v>642</v>
      </c>
      <c r="H78" s="38" t="n">
        <v>726</v>
      </c>
      <c r="I78" s="39" t="n">
        <v>2.064</v>
      </c>
      <c r="J78" s="40" t="n">
        <f aca="false">IF(G78="","",G78*$N$2)</f>
        <v>51360</v>
      </c>
      <c r="K78" s="41" t="n">
        <f aca="false">IF(G78="","",J78/E78)</f>
        <v>2.50499926839975</v>
      </c>
      <c r="L78" s="42" t="n">
        <f aca="false">I78*$P$2</f>
        <v>103.2</v>
      </c>
      <c r="M78" s="43" t="n">
        <f aca="false">L78/(E78/12)</f>
        <v>0.0604009169389845</v>
      </c>
      <c r="N78" s="44" t="n">
        <f aca="false">IF(F78="","",E78/F78-1)</f>
        <v>0.258624923265807</v>
      </c>
      <c r="O78" s="44" t="n">
        <f aca="false">IFERROR(SUMIFS(Dati_Case!$E$2:$E$1061,Dati_Case!$B$2:$B$1061,A78,Dati_Case!$A$2:$A$1061,2024)/H78-1,"")</f>
        <v>-0.110192837465565</v>
      </c>
      <c r="P78" s="45" t="n">
        <f aca="false">IF(K78="","",RANK(K78,$K$5:$K$111,1))</f>
        <v>6</v>
      </c>
    </row>
    <row r="79" customFormat="false" ht="15" hidden="false" customHeight="false" outlineLevel="0" collapsed="false">
      <c r="A79" s="8" t="s">
        <v>256</v>
      </c>
      <c r="B79" s="8" t="s">
        <v>257</v>
      </c>
      <c r="C79" s="8" t="s">
        <v>104</v>
      </c>
      <c r="D79" s="8" t="s">
        <v>73</v>
      </c>
      <c r="E79" s="38" t="n">
        <v>24675</v>
      </c>
      <c r="F79" s="38" t="n">
        <v>20717</v>
      </c>
      <c r="G79" s="38" t="n">
        <v>1680</v>
      </c>
      <c r="H79" s="38" t="n">
        <v>2005</v>
      </c>
      <c r="I79" s="39" t="n">
        <v>2.022</v>
      </c>
      <c r="J79" s="40" t="n">
        <f aca="false">IF(G79="","",G79*$N$2)</f>
        <v>134400</v>
      </c>
      <c r="K79" s="41" t="n">
        <f aca="false">IF(G79="","",J79/E79)</f>
        <v>5.4468085106383</v>
      </c>
      <c r="L79" s="42" t="n">
        <f aca="false">I79*$P$2</f>
        <v>101.1</v>
      </c>
      <c r="M79" s="43" t="n">
        <f aca="false">L79/(E79/12)</f>
        <v>0.0491671732522796</v>
      </c>
      <c r="N79" s="44" t="n">
        <f aca="false">IF(F79="","",E79/F79-1)</f>
        <v>0.191050827822561</v>
      </c>
      <c r="O79" s="44" t="n">
        <f aca="false">IFERROR(SUMIFS(Dati_Case!$E$2:$E$1061,Dati_Case!$B$2:$B$1061,A79,Dati_Case!$A$2:$A$1061,2024)/H79-1,"")</f>
        <v>-0.16359102244389</v>
      </c>
      <c r="P79" s="45" t="n">
        <f aca="false">IF(K79="","",RANK(K79,$K$5:$K$111,1))</f>
        <v>88</v>
      </c>
    </row>
    <row r="80" customFormat="false" ht="15" hidden="false" customHeight="false" outlineLevel="0" collapsed="false">
      <c r="A80" s="8" t="s">
        <v>258</v>
      </c>
      <c r="B80" s="8" t="s">
        <v>259</v>
      </c>
      <c r="C80" s="8" t="s">
        <v>92</v>
      </c>
      <c r="D80" s="8" t="s">
        <v>75</v>
      </c>
      <c r="E80" s="38" t="n">
        <v>17658</v>
      </c>
      <c r="F80" s="38" t="n">
        <v>14503</v>
      </c>
      <c r="G80" s="38" t="n">
        <v>831</v>
      </c>
      <c r="H80" s="38" t="n">
        <v>829</v>
      </c>
      <c r="I80" s="39" t="n">
        <v>2.034</v>
      </c>
      <c r="J80" s="40" t="n">
        <f aca="false">IF(G80="","",G80*$N$2)</f>
        <v>66480</v>
      </c>
      <c r="K80" s="41" t="n">
        <f aca="false">IF(G80="","",J80/E80)</f>
        <v>3.76486578321441</v>
      </c>
      <c r="L80" s="42" t="n">
        <f aca="false">I80*$P$2</f>
        <v>101.7</v>
      </c>
      <c r="M80" s="43" t="n">
        <f aca="false">L80/(E80/12)</f>
        <v>0.0691131498470948</v>
      </c>
      <c r="N80" s="44" t="n">
        <f aca="false">IF(F80="","",E80/F80-1)</f>
        <v>0.21754119837275</v>
      </c>
      <c r="O80" s="44" t="n">
        <f aca="false">IFERROR(SUMIFS(Dati_Case!$E$2:$E$1061,Dati_Case!$B$2:$B$1061,A80,Dati_Case!$A$2:$A$1061,2024)/H80-1,"")</f>
        <v>-0.0482509047044633</v>
      </c>
      <c r="P80" s="45" t="n">
        <f aca="false">IF(K80="","",RANK(K80,$K$5:$K$111,1))</f>
        <v>53</v>
      </c>
    </row>
    <row r="81" customFormat="false" ht="15" hidden="false" customHeight="false" outlineLevel="0" collapsed="false">
      <c r="A81" s="8" t="s">
        <v>260</v>
      </c>
      <c r="B81" s="8" t="s">
        <v>261</v>
      </c>
      <c r="C81" s="8" t="s">
        <v>129</v>
      </c>
      <c r="D81" s="8" t="s">
        <v>72</v>
      </c>
      <c r="E81" s="38" t="n">
        <v>25673</v>
      </c>
      <c r="F81" s="38" t="n">
        <v>21480</v>
      </c>
      <c r="G81" s="38" t="n">
        <v>1651</v>
      </c>
      <c r="H81" s="38" t="n">
        <v>1548</v>
      </c>
      <c r="I81" s="39" t="n">
        <v>2.03</v>
      </c>
      <c r="J81" s="40" t="n">
        <f aca="false">IF(G81="","",G81*$N$2)</f>
        <v>132080</v>
      </c>
      <c r="K81" s="41" t="n">
        <f aca="false">IF(G81="","",J81/E81)</f>
        <v>5.14470455342188</v>
      </c>
      <c r="L81" s="42" t="n">
        <f aca="false">I81*$P$2</f>
        <v>101.5</v>
      </c>
      <c r="M81" s="43" t="n">
        <f aca="false">L81/(E81/12)</f>
        <v>0.0474428387800413</v>
      </c>
      <c r="N81" s="44" t="n">
        <f aca="false">IF(F81="","",E81/F81-1)</f>
        <v>0.195204841713222</v>
      </c>
      <c r="O81" s="44" t="n">
        <f aca="false">IFERROR(SUMIFS(Dati_Case!$E$2:$E$1061,Dati_Case!$B$2:$B$1061,A81,Dati_Case!$A$2:$A$1061,2024)/H81-1,"")</f>
        <v>0.0510335917312661</v>
      </c>
      <c r="P81" s="45" t="n">
        <f aca="false">IF(K81="","",RANK(K81,$K$5:$K$111,1))</f>
        <v>83</v>
      </c>
    </row>
    <row r="82" customFormat="false" ht="15" hidden="false" customHeight="false" outlineLevel="0" collapsed="false">
      <c r="A82" s="8" t="s">
        <v>262</v>
      </c>
      <c r="B82" s="8" t="s">
        <v>263</v>
      </c>
      <c r="C82" s="8" t="s">
        <v>151</v>
      </c>
      <c r="D82" s="8" t="s">
        <v>74</v>
      </c>
      <c r="E82" s="38" t="n">
        <v>19323</v>
      </c>
      <c r="F82" s="38" t="n">
        <v>15354</v>
      </c>
      <c r="G82" s="38" t="n">
        <v>638</v>
      </c>
      <c r="H82" s="38" t="n">
        <v>683</v>
      </c>
      <c r="I82" s="39" t="n">
        <v>2.047</v>
      </c>
      <c r="J82" s="40" t="n">
        <f aca="false">IF(G82="","",G82*$N$2)</f>
        <v>51040</v>
      </c>
      <c r="K82" s="41" t="n">
        <f aca="false">IF(G82="","",J82/E82)</f>
        <v>2.64141178905967</v>
      </c>
      <c r="L82" s="42" t="n">
        <f aca="false">I82*$P$2</f>
        <v>102.35</v>
      </c>
      <c r="M82" s="43" t="n">
        <f aca="false">L82/(E82/12)</f>
        <v>0.0635615587641671</v>
      </c>
      <c r="N82" s="44" t="n">
        <f aca="false">IF(F82="","",E82/F82-1)</f>
        <v>0.258499413833529</v>
      </c>
      <c r="O82" s="44" t="n">
        <f aca="false">IFERROR(SUMIFS(Dati_Case!$E$2:$E$1061,Dati_Case!$B$2:$B$1061,A82,Dati_Case!$A$2:$A$1061,2024)/H82-1,"")</f>
        <v>-0.0644216691068814</v>
      </c>
      <c r="P82" s="45" t="n">
        <f aca="false">IF(K82="","",RANK(K82,$K$5:$K$111,1))</f>
        <v>9</v>
      </c>
    </row>
    <row r="83" customFormat="false" ht="15" hidden="false" customHeight="false" outlineLevel="0" collapsed="false">
      <c r="A83" s="8" t="s">
        <v>264</v>
      </c>
      <c r="B83" s="8" t="s">
        <v>265</v>
      </c>
      <c r="C83" s="8" t="s">
        <v>129</v>
      </c>
      <c r="D83" s="8" t="s">
        <v>72</v>
      </c>
      <c r="E83" s="38" t="n">
        <v>27963</v>
      </c>
      <c r="F83" s="38" t="n">
        <v>23497</v>
      </c>
      <c r="G83" s="38" t="n">
        <v>1114</v>
      </c>
      <c r="H83" s="38" t="n">
        <v>1058</v>
      </c>
      <c r="I83" s="39" t="n">
        <v>2.022</v>
      </c>
      <c r="J83" s="40" t="n">
        <f aca="false">IF(G83="","",G83*$N$2)</f>
        <v>89120</v>
      </c>
      <c r="K83" s="41" t="n">
        <f aca="false">IF(G83="","",J83/E83)</f>
        <v>3.18706862639917</v>
      </c>
      <c r="L83" s="42" t="n">
        <f aca="false">I83*$P$2</f>
        <v>101.1</v>
      </c>
      <c r="M83" s="43" t="n">
        <f aca="false">L83/(E83/12)</f>
        <v>0.0433859028001287</v>
      </c>
      <c r="N83" s="44" t="n">
        <f aca="false">IF(F83="","",E83/F83-1)</f>
        <v>0.190066817040473</v>
      </c>
      <c r="O83" s="44" t="n">
        <f aca="false">IFERROR(SUMIFS(Dati_Case!$E$2:$E$1061,Dati_Case!$B$2:$B$1061,A83,Dati_Case!$A$2:$A$1061,2024)/H83-1,"")</f>
        <v>0.0378071833648392</v>
      </c>
      <c r="P83" s="45" t="n">
        <f aca="false">IF(K83="","",RANK(K83,$K$5:$K$111,1))</f>
        <v>30</v>
      </c>
    </row>
    <row r="84" customFormat="false" ht="15" hidden="false" customHeight="false" outlineLevel="0" collapsed="false">
      <c r="A84" s="8" t="s">
        <v>266</v>
      </c>
      <c r="B84" s="8" t="s">
        <v>267</v>
      </c>
      <c r="C84" s="8" t="s">
        <v>179</v>
      </c>
      <c r="D84" s="8" t="s">
        <v>73</v>
      </c>
      <c r="E84" s="38" t="n">
        <v>22564</v>
      </c>
      <c r="F84" s="38" t="n">
        <v>18595</v>
      </c>
      <c r="G84" s="38" t="n">
        <v>864</v>
      </c>
      <c r="H84" s="38" t="n">
        <v>1144</v>
      </c>
      <c r="I84" s="39" t="n">
        <v>2.047</v>
      </c>
      <c r="J84" s="40" t="n">
        <f aca="false">IF(G84="","",G84*$N$2)</f>
        <v>69120</v>
      </c>
      <c r="K84" s="41" t="n">
        <f aca="false">IF(G84="","",J84/E84)</f>
        <v>3.06328665130296</v>
      </c>
      <c r="L84" s="42" t="n">
        <f aca="false">I84*$P$2</f>
        <v>102.35</v>
      </c>
      <c r="M84" s="43" t="n">
        <f aca="false">L84/(E84/12)</f>
        <v>0.0544318383265379</v>
      </c>
      <c r="N84" s="44" t="n">
        <f aca="false">IF(F84="","",E84/F84-1)</f>
        <v>0.213444474321054</v>
      </c>
      <c r="O84" s="44" t="n">
        <f aca="false">IFERROR(SUMIFS(Dati_Case!$E$2:$E$1061,Dati_Case!$B$2:$B$1061,A84,Dati_Case!$A$2:$A$1061,2024)/H84-1,"")</f>
        <v>-0.237762237762238</v>
      </c>
      <c r="P84" s="45" t="n">
        <f aca="false">IF(K84="","",RANK(K84,$K$5:$K$111,1))</f>
        <v>26</v>
      </c>
    </row>
    <row r="85" customFormat="false" ht="15" hidden="false" customHeight="false" outlineLevel="0" collapsed="false">
      <c r="A85" s="8" t="s">
        <v>268</v>
      </c>
      <c r="B85" s="8" t="s">
        <v>269</v>
      </c>
      <c r="C85" s="8" t="s">
        <v>129</v>
      </c>
      <c r="D85" s="8" t="s">
        <v>72</v>
      </c>
      <c r="E85" s="38" t="n">
        <v>23118</v>
      </c>
      <c r="F85" s="38" t="n">
        <v>19518</v>
      </c>
      <c r="G85" s="38" t="n">
        <v>2117</v>
      </c>
      <c r="H85" s="38" t="n">
        <v>2461</v>
      </c>
      <c r="I85" s="39" t="n">
        <v>2.023</v>
      </c>
      <c r="J85" s="40" t="n">
        <f aca="false">IF(G85="","",G85*$N$2)</f>
        <v>169360</v>
      </c>
      <c r="K85" s="41" t="n">
        <f aca="false">IF(G85="","",J85/E85)</f>
        <v>7.32589324336015</v>
      </c>
      <c r="L85" s="42" t="n">
        <f aca="false">I85*$P$2</f>
        <v>101.15</v>
      </c>
      <c r="M85" s="43" t="n">
        <f aca="false">L85/(E85/12)</f>
        <v>0.0525045419153906</v>
      </c>
      <c r="N85" s="44" t="n">
        <f aca="false">IF(F85="","",E85/F85-1)</f>
        <v>0.184445127574547</v>
      </c>
      <c r="O85" s="44" t="n">
        <f aca="false">IFERROR(SUMIFS(Dati_Case!$E$2:$E$1061,Dati_Case!$B$2:$B$1061,A85,Dati_Case!$A$2:$A$1061,2024)/H85-1,"")</f>
        <v>-0.147094676960585</v>
      </c>
      <c r="P85" s="45" t="n">
        <f aca="false">IF(K85="","",RANK(K85,$K$5:$K$111,1))</f>
        <v>102</v>
      </c>
    </row>
    <row r="86" customFormat="false" ht="15" hidden="false" customHeight="false" outlineLevel="0" collapsed="false">
      <c r="A86" s="8" t="s">
        <v>270</v>
      </c>
      <c r="B86" s="8" t="s">
        <v>271</v>
      </c>
      <c r="C86" s="8" t="s">
        <v>179</v>
      </c>
      <c r="D86" s="8" t="s">
        <v>73</v>
      </c>
      <c r="E86" s="38" t="n">
        <v>29513</v>
      </c>
      <c r="F86" s="38" t="n">
        <v>24843</v>
      </c>
      <c r="G86" s="38" t="n">
        <v>2377</v>
      </c>
      <c r="H86" s="38" t="n">
        <v>2493</v>
      </c>
      <c r="I86" s="39" t="n">
        <v>2.015</v>
      </c>
      <c r="J86" s="40" t="n">
        <f aca="false">IF(G86="","",G86*$N$2)</f>
        <v>190160</v>
      </c>
      <c r="K86" s="41" t="n">
        <f aca="false">IF(G86="","",J86/E86)</f>
        <v>6.44326229119371</v>
      </c>
      <c r="L86" s="42" t="n">
        <f aca="false">I86*$P$2</f>
        <v>100.75</v>
      </c>
      <c r="M86" s="43" t="n">
        <f aca="false">L86/(E86/12)</f>
        <v>0.0409649984752482</v>
      </c>
      <c r="N86" s="44" t="n">
        <f aca="false">IF(F86="","",E86/F86-1)</f>
        <v>0.187980517650847</v>
      </c>
      <c r="O86" s="44" t="n">
        <f aca="false">IFERROR(SUMIFS(Dati_Case!$E$2:$E$1061,Dati_Case!$B$2:$B$1061,A86,Dati_Case!$A$2:$A$1061,2024)/H86-1,"")</f>
        <v>-0.072202166064982</v>
      </c>
      <c r="P86" s="45" t="n">
        <f aca="false">IF(K86="","",RANK(K86,$K$5:$K$111,1))</f>
        <v>98</v>
      </c>
    </row>
    <row r="87" customFormat="false" ht="15" hidden="false" customHeight="false" outlineLevel="0" collapsed="false">
      <c r="A87" s="8" t="s">
        <v>272</v>
      </c>
      <c r="B87" s="8" t="s">
        <v>273</v>
      </c>
      <c r="C87" s="8" t="s">
        <v>119</v>
      </c>
      <c r="D87" s="8" t="s">
        <v>72</v>
      </c>
      <c r="E87" s="38" t="n">
        <v>23333</v>
      </c>
      <c r="F87" s="38" t="n">
        <v>19019</v>
      </c>
      <c r="G87" s="38" t="n">
        <v>1047</v>
      </c>
      <c r="H87" s="38" t="n">
        <v>1068</v>
      </c>
      <c r="I87" s="39" t="n">
        <v>2.014</v>
      </c>
      <c r="J87" s="40" t="n">
        <f aca="false">IF(G87="","",G87*$N$2)</f>
        <v>83760</v>
      </c>
      <c r="K87" s="41" t="n">
        <f aca="false">IF(G87="","",J87/E87)</f>
        <v>3.58976556807954</v>
      </c>
      <c r="L87" s="42" t="n">
        <f aca="false">I87*$P$2</f>
        <v>100.7</v>
      </c>
      <c r="M87" s="43" t="n">
        <f aca="false">L87/(E87/12)</f>
        <v>0.0517893112758754</v>
      </c>
      <c r="N87" s="44" t="n">
        <f aca="false">IF(F87="","",E87/F87-1)</f>
        <v>0.226825805773174</v>
      </c>
      <c r="O87" s="44" t="n">
        <f aca="false">IFERROR(SUMIFS(Dati_Case!$E$2:$E$1061,Dati_Case!$B$2:$B$1061,A87,Dati_Case!$A$2:$A$1061,2024)/H87-1,"")</f>
        <v>-0.0224719101123596</v>
      </c>
      <c r="P87" s="45" t="n">
        <f aca="false">IF(K87="","",RANK(K87,$K$5:$K$111,1))</f>
        <v>44</v>
      </c>
    </row>
    <row r="88" customFormat="false" ht="15" hidden="false" customHeight="false" outlineLevel="0" collapsed="false">
      <c r="A88" s="8" t="s">
        <v>274</v>
      </c>
      <c r="B88" s="8" t="s">
        <v>275</v>
      </c>
      <c r="C88" s="8" t="s">
        <v>111</v>
      </c>
      <c r="D88" s="8" t="s">
        <v>74</v>
      </c>
      <c r="E88" s="38" t="n">
        <v>20249</v>
      </c>
      <c r="F88" s="38" t="n">
        <v>16228</v>
      </c>
      <c r="G88" s="38" t="n">
        <v>1170</v>
      </c>
      <c r="H88" s="38" t="n">
        <v>1123</v>
      </c>
      <c r="I88" s="39" t="n">
        <v>2.073</v>
      </c>
      <c r="J88" s="40" t="n">
        <f aca="false">IF(G88="","",G88*$N$2)</f>
        <v>93600</v>
      </c>
      <c r="K88" s="41" t="n">
        <f aca="false">IF(G88="","",J88/E88)</f>
        <v>4.62245049138229</v>
      </c>
      <c r="L88" s="42" t="n">
        <f aca="false">I88*$P$2</f>
        <v>103.65</v>
      </c>
      <c r="M88" s="43" t="n">
        <f aca="false">L88/(E88/12)</f>
        <v>0.0614252555681762</v>
      </c>
      <c r="N88" s="44" t="n">
        <f aca="false">IF(F88="","",E88/F88-1)</f>
        <v>0.247781612028593</v>
      </c>
      <c r="O88" s="44" t="n">
        <f aca="false">IFERROR(SUMIFS(Dati_Case!$E$2:$E$1061,Dati_Case!$B$2:$B$1061,A88,Dati_Case!$A$2:$A$1061,2024)/H88-1,"")</f>
        <v>0.0356188780053428</v>
      </c>
      <c r="P88" s="45" t="n">
        <f aca="false">IF(K88="","",RANK(K88,$K$5:$K$111,1))</f>
        <v>72</v>
      </c>
    </row>
    <row r="89" customFormat="false" ht="15" hidden="false" customHeight="false" outlineLevel="0" collapsed="false">
      <c r="A89" s="8" t="s">
        <v>276</v>
      </c>
      <c r="B89" s="8" t="s">
        <v>277</v>
      </c>
      <c r="C89" s="8" t="s">
        <v>139</v>
      </c>
      <c r="D89" s="8" t="s">
        <v>75</v>
      </c>
      <c r="E89" s="38" t="n">
        <v>21169</v>
      </c>
      <c r="F89" s="38"/>
      <c r="G89" s="38" t="n">
        <v>1727</v>
      </c>
      <c r="H89" s="38" t="n">
        <v>1707</v>
      </c>
      <c r="I89" s="39" t="n">
        <v>2.041</v>
      </c>
      <c r="J89" s="40" t="n">
        <f aca="false">IF(G89="","",G89*$N$2)</f>
        <v>138160</v>
      </c>
      <c r="K89" s="41" t="n">
        <f aca="false">IF(G89="","",J89/E89)</f>
        <v>6.5265246350796</v>
      </c>
      <c r="L89" s="42" t="n">
        <f aca="false">I89*$P$2</f>
        <v>102.05</v>
      </c>
      <c r="M89" s="43" t="n">
        <f aca="false">L89/(E89/12)</f>
        <v>0.0578487410836601</v>
      </c>
      <c r="N89" s="44" t="str">
        <f aca="false">IF(F89="","",E89/F89-1)</f>
        <v/>
      </c>
      <c r="O89" s="44" t="n">
        <f aca="false">IFERROR(SUMIFS(Dati_Case!$E$2:$E$1061,Dati_Case!$B$2:$B$1061,A89,Dati_Case!$A$2:$A$1061,2024)/H89-1,"")</f>
        <v>-0.00410076157000583</v>
      </c>
      <c r="P89" s="45" t="n">
        <f aca="false">IF(K89="","",RANK(K89,$K$5:$K$111,1))</f>
        <v>99</v>
      </c>
    </row>
    <row r="90" customFormat="false" ht="15" hidden="false" customHeight="false" outlineLevel="0" collapsed="false">
      <c r="A90" s="8" t="s">
        <v>278</v>
      </c>
      <c r="B90" s="8" t="s">
        <v>279</v>
      </c>
      <c r="C90" s="8" t="s">
        <v>182</v>
      </c>
      <c r="D90" s="8" t="s">
        <v>72</v>
      </c>
      <c r="E90" s="38" t="n">
        <v>25456</v>
      </c>
      <c r="F90" s="38" t="n">
        <v>21464</v>
      </c>
      <c r="G90" s="38" t="n">
        <v>2750</v>
      </c>
      <c r="H90" s="38" t="n">
        <v>2867</v>
      </c>
      <c r="I90" s="39" t="n">
        <v>2.026</v>
      </c>
      <c r="J90" s="40" t="n">
        <f aca="false">IF(G90="","",G90*$N$2)</f>
        <v>220000</v>
      </c>
      <c r="K90" s="41" t="n">
        <f aca="false">IF(G90="","",J90/E90)</f>
        <v>8.64236329352609</v>
      </c>
      <c r="L90" s="42" t="n">
        <f aca="false">I90*$P$2</f>
        <v>101.3</v>
      </c>
      <c r="M90" s="43" t="n">
        <f aca="false">L90/(E90/12)</f>
        <v>0.0477529855436832</v>
      </c>
      <c r="N90" s="44" t="n">
        <f aca="false">IF(F90="","",E90/F90-1)</f>
        <v>0.185985836749907</v>
      </c>
      <c r="O90" s="44" t="n">
        <f aca="false">IFERROR(SUMIFS(Dati_Case!$E$2:$E$1061,Dati_Case!$B$2:$B$1061,A90,Dati_Case!$A$2:$A$1061,2024)/H90-1,"")</f>
        <v>-0.0422043948378096</v>
      </c>
      <c r="P90" s="45" t="n">
        <f aca="false">IF(K90="","",RANK(K90,$K$5:$K$111,1))</f>
        <v>105</v>
      </c>
    </row>
    <row r="91" customFormat="false" ht="15" hidden="false" customHeight="false" outlineLevel="0" collapsed="false">
      <c r="A91" s="8" t="s">
        <v>280</v>
      </c>
      <c r="B91" s="8" t="s">
        <v>281</v>
      </c>
      <c r="C91" s="8" t="s">
        <v>104</v>
      </c>
      <c r="D91" s="8" t="s">
        <v>73</v>
      </c>
      <c r="E91" s="38" t="n">
        <v>26341</v>
      </c>
      <c r="F91" s="38" t="n">
        <v>21764</v>
      </c>
      <c r="G91" s="38" t="n">
        <v>1426</v>
      </c>
      <c r="H91" s="38" t="n">
        <v>1530</v>
      </c>
      <c r="I91" s="39" t="n">
        <v>2.039</v>
      </c>
      <c r="J91" s="40" t="n">
        <f aca="false">IF(G91="","",G91*$N$2)</f>
        <v>114080</v>
      </c>
      <c r="K91" s="41" t="n">
        <f aca="false">IF(G91="","",J91/E91)</f>
        <v>4.33089100641585</v>
      </c>
      <c r="L91" s="42" t="n">
        <f aca="false">I91*$P$2</f>
        <v>101.95</v>
      </c>
      <c r="M91" s="43" t="n">
        <f aca="false">L91/(E91/12)</f>
        <v>0.0464447059716791</v>
      </c>
      <c r="N91" s="44" t="n">
        <f aca="false">IF(F91="","",E91/F91-1)</f>
        <v>0.210301415181033</v>
      </c>
      <c r="O91" s="44" t="n">
        <f aca="false">IFERROR(SUMIFS(Dati_Case!$E$2:$E$1061,Dati_Case!$B$2:$B$1061,A91,Dati_Case!$A$2:$A$1061,2024)/H91-1,"")</f>
        <v>-0.0627450980392157</v>
      </c>
      <c r="P91" s="45" t="n">
        <f aca="false">IF(K91="","",RANK(K91,$K$5:$K$111,1))</f>
        <v>63</v>
      </c>
    </row>
    <row r="92" customFormat="false" ht="15" hidden="false" customHeight="false" outlineLevel="0" collapsed="false">
      <c r="A92" s="8" t="s">
        <v>282</v>
      </c>
      <c r="B92" s="8" t="s">
        <v>283</v>
      </c>
      <c r="C92" s="8" t="s">
        <v>92</v>
      </c>
      <c r="D92" s="8" t="s">
        <v>75</v>
      </c>
      <c r="E92" s="38" t="n">
        <v>20613</v>
      </c>
      <c r="F92" s="38" t="n">
        <v>16633</v>
      </c>
      <c r="G92" s="38" t="n">
        <v>764</v>
      </c>
      <c r="H92" s="38" t="n">
        <v>782</v>
      </c>
      <c r="I92" s="39" t="n">
        <v>2.03</v>
      </c>
      <c r="J92" s="40" t="n">
        <f aca="false">IF(G92="","",G92*$N$2)</f>
        <v>61120</v>
      </c>
      <c r="K92" s="41" t="n">
        <f aca="false">IF(G92="","",J92/E92)</f>
        <v>2.96511909959734</v>
      </c>
      <c r="L92" s="42" t="n">
        <f aca="false">I92*$P$2</f>
        <v>101.5</v>
      </c>
      <c r="M92" s="43" t="n">
        <f aca="false">L92/(E92/12)</f>
        <v>0.0590889244651434</v>
      </c>
      <c r="N92" s="44" t="n">
        <f aca="false">IF(F92="","",E92/F92-1)</f>
        <v>0.239283352371791</v>
      </c>
      <c r="O92" s="44" t="n">
        <f aca="false">IFERROR(SUMIFS(Dati_Case!$E$2:$E$1061,Dati_Case!$B$2:$B$1061,A92,Dati_Case!$A$2:$A$1061,2024)/H92-1,"")</f>
        <v>-0.040920716112532</v>
      </c>
      <c r="P92" s="45" t="n">
        <f aca="false">IF(K92="","",RANK(K92,$K$5:$K$111,1))</f>
        <v>22</v>
      </c>
    </row>
    <row r="93" customFormat="false" ht="15" hidden="false" customHeight="false" outlineLevel="0" collapsed="false">
      <c r="A93" s="8" t="s">
        <v>284</v>
      </c>
      <c r="B93" s="8" t="s">
        <v>285</v>
      </c>
      <c r="C93" s="8" t="s">
        <v>124</v>
      </c>
      <c r="D93" s="8" t="s">
        <v>72</v>
      </c>
      <c r="E93" s="38" t="n">
        <v>24470</v>
      </c>
      <c r="F93" s="38" t="n">
        <v>20350</v>
      </c>
      <c r="G93" s="38" t="n">
        <v>1519</v>
      </c>
      <c r="H93" s="38" t="n">
        <v>1434</v>
      </c>
      <c r="I93" s="39" t="n">
        <v>1.974</v>
      </c>
      <c r="J93" s="40" t="n">
        <f aca="false">IF(G93="","",G93*$N$2)</f>
        <v>121520</v>
      </c>
      <c r="K93" s="41" t="n">
        <f aca="false">IF(G93="","",J93/E93)</f>
        <v>4.96608091540662</v>
      </c>
      <c r="L93" s="42" t="n">
        <f aca="false">I93*$P$2</f>
        <v>98.7</v>
      </c>
      <c r="M93" s="43" t="n">
        <f aca="false">L93/(E93/12)</f>
        <v>0.048402125051083</v>
      </c>
      <c r="N93" s="44" t="n">
        <f aca="false">IF(F93="","",E93/F93-1)</f>
        <v>0.202457002457003</v>
      </c>
      <c r="O93" s="44" t="n">
        <f aca="false">IFERROR(SUMIFS(Dati_Case!$E$2:$E$1061,Dati_Case!$B$2:$B$1061,A93,Dati_Case!$A$2:$A$1061,2024)/H93-1,"")</f>
        <v>0.0467224546722456</v>
      </c>
      <c r="P93" s="45" t="n">
        <f aca="false">IF(K93="","",RANK(K93,$K$5:$K$111,1))</f>
        <v>78</v>
      </c>
    </row>
    <row r="94" customFormat="false" ht="15" hidden="false" customHeight="false" outlineLevel="0" collapsed="false">
      <c r="A94" s="8" t="s">
        <v>286</v>
      </c>
      <c r="B94" s="8" t="s">
        <v>287</v>
      </c>
      <c r="C94" s="8" t="s">
        <v>139</v>
      </c>
      <c r="D94" s="8" t="s">
        <v>75</v>
      </c>
      <c r="E94" s="38" t="n">
        <v>19217</v>
      </c>
      <c r="F94" s="38"/>
      <c r="G94" s="38"/>
      <c r="H94" s="38"/>
      <c r="I94" s="39" t="n">
        <v>2.026</v>
      </c>
      <c r="J94" s="40" t="str">
        <f aca="false">IF(G94="","",G94*$N$2)</f>
        <v/>
      </c>
      <c r="K94" s="41" t="str">
        <f aca="false">IF(G94="","",J94/E94)</f>
        <v/>
      </c>
      <c r="L94" s="42" t="n">
        <f aca="false">I94*$P$2</f>
        <v>101.3</v>
      </c>
      <c r="M94" s="43" t="n">
        <f aca="false">L94/(E94/12)</f>
        <v>0.06325649164802</v>
      </c>
      <c r="N94" s="44" t="str">
        <f aca="false">IF(F94="","",E94/F94-1)</f>
        <v/>
      </c>
      <c r="O94" s="44" t="str">
        <f aca="false">IFERROR(SUMIFS(Dati_Case!$E$2:$E$1061,Dati_Case!$B$2:$B$1061,A94,Dati_Case!$A$2:$A$1061,2024)/H94-1,"")</f>
        <v/>
      </c>
      <c r="P94" s="45" t="str">
        <f aca="false">IF(K94="","",RANK(K94,$K$5:$K$111,1))</f>
        <v/>
      </c>
    </row>
    <row r="95" customFormat="false" ht="15" hidden="false" customHeight="false" outlineLevel="0" collapsed="false">
      <c r="A95" s="8" t="s">
        <v>288</v>
      </c>
      <c r="B95" s="8" t="s">
        <v>289</v>
      </c>
      <c r="C95" s="8" t="s">
        <v>114</v>
      </c>
      <c r="D95" s="8" t="s">
        <v>74</v>
      </c>
      <c r="E95" s="38" t="n">
        <v>20554</v>
      </c>
      <c r="F95" s="38" t="n">
        <v>17031</v>
      </c>
      <c r="G95" s="38" t="n">
        <v>955</v>
      </c>
      <c r="H95" s="38" t="n">
        <v>924</v>
      </c>
      <c r="I95" s="39" t="n">
        <v>2.052</v>
      </c>
      <c r="J95" s="40" t="n">
        <f aca="false">IF(G95="","",G95*$N$2)</f>
        <v>76400</v>
      </c>
      <c r="K95" s="41" t="n">
        <f aca="false">IF(G95="","",J95/E95)</f>
        <v>3.71703804612241</v>
      </c>
      <c r="L95" s="42" t="n">
        <f aca="false">I95*$P$2</f>
        <v>102.6</v>
      </c>
      <c r="M95" s="43" t="n">
        <f aca="false">L95/(E95/12)</f>
        <v>0.0599007492458889</v>
      </c>
      <c r="N95" s="44" t="n">
        <f aca="false">IF(F95="","",E95/F95-1)</f>
        <v>0.206858082320474</v>
      </c>
      <c r="O95" s="44" t="n">
        <f aca="false">IFERROR(SUMIFS(Dati_Case!$E$2:$E$1061,Dati_Case!$B$2:$B$1061,A95,Dati_Case!$A$2:$A$1061,2024)/H95-1,"")</f>
        <v>0.0313852813852813</v>
      </c>
      <c r="P95" s="45" t="n">
        <f aca="false">IF(K95="","",RANK(K95,$K$5:$K$111,1))</f>
        <v>51</v>
      </c>
    </row>
    <row r="96" customFormat="false" ht="15" hidden="false" customHeight="false" outlineLevel="0" collapsed="false">
      <c r="A96" s="8" t="s">
        <v>290</v>
      </c>
      <c r="B96" s="8" t="s">
        <v>291</v>
      </c>
      <c r="C96" s="8" t="s">
        <v>154</v>
      </c>
      <c r="D96" s="8" t="s">
        <v>74</v>
      </c>
      <c r="E96" s="38" t="n">
        <v>21100</v>
      </c>
      <c r="F96" s="38" t="n">
        <v>16942</v>
      </c>
      <c r="G96" s="38" t="n">
        <v>1018</v>
      </c>
      <c r="H96" s="38" t="n">
        <v>955</v>
      </c>
      <c r="I96" s="39" t="n">
        <v>2.043</v>
      </c>
      <c r="J96" s="40" t="n">
        <f aca="false">IF(G96="","",G96*$N$2)</f>
        <v>81440</v>
      </c>
      <c r="K96" s="41" t="n">
        <f aca="false">IF(G96="","",J96/E96)</f>
        <v>3.85971563981043</v>
      </c>
      <c r="L96" s="42" t="n">
        <f aca="false">I96*$P$2</f>
        <v>102.15</v>
      </c>
      <c r="M96" s="43" t="n">
        <f aca="false">L96/(E96/12)</f>
        <v>0.0580947867298578</v>
      </c>
      <c r="N96" s="44" t="n">
        <f aca="false">IF(F96="","",E96/F96-1)</f>
        <v>0.245425569590367</v>
      </c>
      <c r="O96" s="44" t="n">
        <f aca="false">IFERROR(SUMIFS(Dati_Case!$E$2:$E$1061,Dati_Case!$B$2:$B$1061,A96,Dati_Case!$A$2:$A$1061,2024)/H96-1,"")</f>
        <v>0.0345549738219895</v>
      </c>
      <c r="P96" s="45" t="n">
        <f aca="false">IF(K96="","",RANK(K96,$K$5:$K$111,1))</f>
        <v>55</v>
      </c>
    </row>
    <row r="97" customFormat="false" ht="15" hidden="false" customHeight="false" outlineLevel="0" collapsed="false">
      <c r="A97" s="8" t="s">
        <v>292</v>
      </c>
      <c r="B97" s="8" t="s">
        <v>293</v>
      </c>
      <c r="C97" s="8" t="s">
        <v>241</v>
      </c>
      <c r="D97" s="8" t="s">
        <v>73</v>
      </c>
      <c r="E97" s="38" t="n">
        <v>23937</v>
      </c>
      <c r="F97" s="38" t="n">
        <v>19820</v>
      </c>
      <c r="G97" s="38" t="n">
        <v>863</v>
      </c>
      <c r="H97" s="38" t="n">
        <v>1125</v>
      </c>
      <c r="I97" s="39" t="n">
        <v>2.027</v>
      </c>
      <c r="J97" s="40" t="n">
        <f aca="false">IF(G97="","",G97*$N$2)</f>
        <v>69040</v>
      </c>
      <c r="K97" s="41" t="n">
        <f aca="false">IF(G97="","",J97/E97)</f>
        <v>2.88423779086769</v>
      </c>
      <c r="L97" s="42" t="n">
        <f aca="false">I97*$P$2</f>
        <v>101.35</v>
      </c>
      <c r="M97" s="43" t="n">
        <f aca="false">L97/(E97/12)</f>
        <v>0.0508083719764382</v>
      </c>
      <c r="N97" s="44" t="n">
        <f aca="false">IF(F97="","",E97/F97-1)</f>
        <v>0.207719475277498</v>
      </c>
      <c r="O97" s="44" t="n">
        <f aca="false">IFERROR(SUMIFS(Dati_Case!$E$2:$E$1061,Dati_Case!$B$2:$B$1061,A97,Dati_Case!$A$2:$A$1061,2024)/H97-1,"")</f>
        <v>-0.284444444444445</v>
      </c>
      <c r="P97" s="45" t="n">
        <f aca="false">IF(K97="","",RANK(K97,$K$5:$K$111,1))</f>
        <v>19</v>
      </c>
    </row>
    <row r="98" customFormat="false" ht="15" hidden="false" customHeight="false" outlineLevel="0" collapsed="false">
      <c r="A98" s="8" t="s">
        <v>294</v>
      </c>
      <c r="B98" s="8" t="s">
        <v>295</v>
      </c>
      <c r="C98" s="8" t="s">
        <v>95</v>
      </c>
      <c r="D98" s="8" t="s">
        <v>72</v>
      </c>
      <c r="E98" s="38" t="n">
        <v>28048</v>
      </c>
      <c r="F98" s="38" t="n">
        <v>23664</v>
      </c>
      <c r="G98" s="38" t="n">
        <v>1545</v>
      </c>
      <c r="H98" s="38" t="n">
        <v>1536</v>
      </c>
      <c r="I98" s="39" t="n">
        <v>2.027</v>
      </c>
      <c r="J98" s="40" t="n">
        <f aca="false">IF(G98="","",G98*$N$2)</f>
        <v>123600</v>
      </c>
      <c r="K98" s="41" t="n">
        <f aca="false">IF(G98="","",J98/E98)</f>
        <v>4.40673131774102</v>
      </c>
      <c r="L98" s="42" t="n">
        <f aca="false">I98*$P$2</f>
        <v>101.35</v>
      </c>
      <c r="M98" s="43" t="n">
        <f aca="false">L98/(E98/12)</f>
        <v>0.0433613804905876</v>
      </c>
      <c r="N98" s="44" t="n">
        <f aca="false">IF(F98="","",E98/F98-1)</f>
        <v>0.18526031102096</v>
      </c>
      <c r="O98" s="44" t="n">
        <f aca="false">IFERROR(SUMIFS(Dati_Case!$E$2:$E$1061,Dati_Case!$B$2:$B$1061,A98,Dati_Case!$A$2:$A$1061,2024)/H98-1,"")</f>
        <v>-0.00390625</v>
      </c>
      <c r="P98" s="45" t="n">
        <f aca="false">IF(K98="","",RANK(K98,$K$5:$K$111,1))</f>
        <v>67</v>
      </c>
    </row>
    <row r="99" customFormat="false" ht="15" hidden="false" customHeight="false" outlineLevel="0" collapsed="false">
      <c r="A99" s="8" t="s">
        <v>296</v>
      </c>
      <c r="B99" s="8" t="s">
        <v>297</v>
      </c>
      <c r="C99" s="8" t="s">
        <v>92</v>
      </c>
      <c r="D99" s="8" t="s">
        <v>75</v>
      </c>
      <c r="E99" s="38" t="n">
        <v>19099</v>
      </c>
      <c r="F99" s="38" t="n">
        <v>15168</v>
      </c>
      <c r="G99" s="38" t="n">
        <v>950</v>
      </c>
      <c r="H99" s="38" t="n">
        <v>919</v>
      </c>
      <c r="I99" s="39" t="n">
        <v>2.048</v>
      </c>
      <c r="J99" s="40" t="n">
        <f aca="false">IF(G99="","",G99*$N$2)</f>
        <v>76000</v>
      </c>
      <c r="K99" s="41" t="n">
        <f aca="false">IF(G99="","",J99/E99)</f>
        <v>3.97926593015341</v>
      </c>
      <c r="L99" s="42" t="n">
        <f aca="false">I99*$P$2</f>
        <v>102.4</v>
      </c>
      <c r="M99" s="43" t="n">
        <f aca="false">L99/(E99/12)</f>
        <v>0.064338447039112</v>
      </c>
      <c r="N99" s="44" t="n">
        <f aca="false">IF(F99="","",E99/F99-1)</f>
        <v>0.259164029535865</v>
      </c>
      <c r="O99" s="44" t="n">
        <f aca="false">IFERROR(SUMIFS(Dati_Case!$E$2:$E$1061,Dati_Case!$B$2:$B$1061,A99,Dati_Case!$A$2:$A$1061,2024)/H99-1,"")</f>
        <v>0.0239390642002175</v>
      </c>
      <c r="P99" s="45" t="n">
        <f aca="false">IF(K99="","",RANK(K99,$K$5:$K$111,1))</f>
        <v>56</v>
      </c>
    </row>
    <row r="100" customFormat="false" ht="15" hidden="false" customHeight="false" outlineLevel="0" collapsed="false">
      <c r="A100" s="8" t="s">
        <v>298</v>
      </c>
      <c r="B100" s="8" t="s">
        <v>299</v>
      </c>
      <c r="C100" s="8" t="s">
        <v>132</v>
      </c>
      <c r="D100" s="8" t="s">
        <v>72</v>
      </c>
      <c r="E100" s="38" t="n">
        <v>26771</v>
      </c>
      <c r="F100" s="38" t="n">
        <v>21382</v>
      </c>
      <c r="G100" s="38" t="n">
        <v>2270</v>
      </c>
      <c r="H100" s="38" t="n">
        <v>2147</v>
      </c>
      <c r="I100" s="39" t="n">
        <v>2.038</v>
      </c>
      <c r="J100" s="40" t="n">
        <f aca="false">IF(G100="","",G100*$N$2)</f>
        <v>181600</v>
      </c>
      <c r="K100" s="41" t="n">
        <f aca="false">IF(G100="","",J100/E100)</f>
        <v>6.78345971386949</v>
      </c>
      <c r="L100" s="42" t="n">
        <f aca="false">I100*$P$2</f>
        <v>101.9</v>
      </c>
      <c r="M100" s="43" t="n">
        <f aca="false">L100/(E100/12)</f>
        <v>0.0456762915094692</v>
      </c>
      <c r="N100" s="44" t="n">
        <f aca="false">IF(F100="","",E100/F100-1)</f>
        <v>0.252034421476008</v>
      </c>
      <c r="O100" s="44" t="n">
        <f aca="false">IFERROR(SUMIFS(Dati_Case!$E$2:$E$1061,Dati_Case!$B$2:$B$1061,A100,Dati_Case!$A$2:$A$1061,2024)/H100-1,"")</f>
        <v>0.047508150908244</v>
      </c>
      <c r="P100" s="45" t="n">
        <f aca="false">IF(K100="","",RANK(K100,$K$5:$K$111,1))</f>
        <v>100</v>
      </c>
    </row>
    <row r="101" customFormat="false" ht="15" hidden="false" customHeight="false" outlineLevel="0" collapsed="false">
      <c r="A101" s="8" t="s">
        <v>300</v>
      </c>
      <c r="B101" s="8" t="s">
        <v>301</v>
      </c>
      <c r="C101" s="8" t="s">
        <v>119</v>
      </c>
      <c r="D101" s="8" t="s">
        <v>72</v>
      </c>
      <c r="E101" s="38" t="n">
        <v>26366</v>
      </c>
      <c r="F101" s="38" t="n">
        <v>22179</v>
      </c>
      <c r="G101" s="38" t="n">
        <v>1334</v>
      </c>
      <c r="H101" s="38" t="n">
        <v>1272</v>
      </c>
      <c r="I101" s="39" t="n">
        <v>2.031</v>
      </c>
      <c r="J101" s="40" t="n">
        <f aca="false">IF(G101="","",G101*$N$2)</f>
        <v>106720</v>
      </c>
      <c r="K101" s="41" t="n">
        <f aca="false">IF(G101="","",J101/E101)</f>
        <v>4.04763710839718</v>
      </c>
      <c r="L101" s="42" t="n">
        <f aca="false">I101*$P$2</f>
        <v>101.55</v>
      </c>
      <c r="M101" s="43" t="n">
        <f aca="false">L101/(E101/12)</f>
        <v>0.0462186148828036</v>
      </c>
      <c r="N101" s="44" t="n">
        <f aca="false">IF(F101="","",E101/F101-1)</f>
        <v>0.188782181342712</v>
      </c>
      <c r="O101" s="44" t="n">
        <f aca="false">IFERROR(SUMIFS(Dati_Case!$E$2:$E$1061,Dati_Case!$B$2:$B$1061,A101,Dati_Case!$A$2:$A$1061,2024)/H101-1,"")</f>
        <v>0.0369496855345912</v>
      </c>
      <c r="P101" s="45" t="n">
        <f aca="false">IF(K101="","",RANK(K101,$K$5:$K$111,1))</f>
        <v>59</v>
      </c>
    </row>
    <row r="102" customFormat="false" ht="15" hidden="false" customHeight="false" outlineLevel="0" collapsed="false">
      <c r="A102" s="8" t="s">
        <v>302</v>
      </c>
      <c r="B102" s="8" t="s">
        <v>303</v>
      </c>
      <c r="C102" s="8" t="s">
        <v>185</v>
      </c>
      <c r="D102" s="8" t="s">
        <v>72</v>
      </c>
      <c r="E102" s="38" t="n">
        <v>26190</v>
      </c>
      <c r="F102" s="38" t="n">
        <v>23556</v>
      </c>
      <c r="G102" s="38" t="n">
        <v>1926</v>
      </c>
      <c r="H102" s="38" t="n">
        <v>1861</v>
      </c>
      <c r="I102" s="39" t="n">
        <v>2.078</v>
      </c>
      <c r="J102" s="40" t="n">
        <f aca="false">IF(G102="","",G102*$N$2)</f>
        <v>154080</v>
      </c>
      <c r="K102" s="41" t="n">
        <f aca="false">IF(G102="","",J102/E102)</f>
        <v>5.88316151202749</v>
      </c>
      <c r="L102" s="42" t="n">
        <f aca="false">I102*$P$2</f>
        <v>103.9</v>
      </c>
      <c r="M102" s="43" t="n">
        <f aca="false">L102/(E102/12)</f>
        <v>0.0476059564719359</v>
      </c>
      <c r="N102" s="44" t="n">
        <f aca="false">IF(F102="","",E102/F102-1)</f>
        <v>0.111818644931228</v>
      </c>
      <c r="O102" s="44" t="n">
        <f aca="false">IFERROR(SUMIFS(Dati_Case!$E$2:$E$1061,Dati_Case!$B$2:$B$1061,A102,Dati_Case!$A$2:$A$1061,2024)/H102-1,"")</f>
        <v>-0.0257925846319184</v>
      </c>
      <c r="P102" s="45" t="n">
        <f aca="false">IF(K102="","",RANK(K102,$K$5:$K$111,1))</f>
        <v>92</v>
      </c>
    </row>
    <row r="103" customFormat="false" ht="15" hidden="false" customHeight="false" outlineLevel="0" collapsed="false">
      <c r="A103" s="8" t="s">
        <v>304</v>
      </c>
      <c r="B103" s="8" t="s">
        <v>305</v>
      </c>
      <c r="C103" s="8" t="s">
        <v>185</v>
      </c>
      <c r="D103" s="8" t="s">
        <v>72</v>
      </c>
      <c r="E103" s="38" t="n">
        <v>26129</v>
      </c>
      <c r="F103" s="38" t="n">
        <v>21584</v>
      </c>
      <c r="G103" s="38" t="n">
        <v>1096</v>
      </c>
      <c r="H103" s="38" t="n">
        <v>1087</v>
      </c>
      <c r="I103" s="39" t="n">
        <v>2.037</v>
      </c>
      <c r="J103" s="40" t="n">
        <f aca="false">IF(G103="","",G103*$N$2)</f>
        <v>87680</v>
      </c>
      <c r="K103" s="41" t="n">
        <f aca="false">IF(G103="","",J103/E103)</f>
        <v>3.35565846377588</v>
      </c>
      <c r="L103" s="42" t="n">
        <f aca="false">I103*$P$2</f>
        <v>101.85</v>
      </c>
      <c r="M103" s="43" t="n">
        <f aca="false">L103/(E103/12)</f>
        <v>0.0467756133032263</v>
      </c>
      <c r="N103" s="44" t="n">
        <f aca="false">IF(F103="","",E103/F103-1)</f>
        <v>0.210572646404744</v>
      </c>
      <c r="O103" s="44" t="n">
        <f aca="false">IFERROR(SUMIFS(Dati_Case!$E$2:$E$1061,Dati_Case!$B$2:$B$1061,A103,Dati_Case!$A$2:$A$1061,2024)/H103-1,"")</f>
        <v>0.00551977920883173</v>
      </c>
      <c r="P103" s="45" t="n">
        <f aca="false">IF(K103="","",RANK(K103,$K$5:$K$111,1))</f>
        <v>38</v>
      </c>
    </row>
    <row r="104" customFormat="false" ht="15" hidden="false" customHeight="false" outlineLevel="0" collapsed="false">
      <c r="A104" s="8" t="s">
        <v>306</v>
      </c>
      <c r="B104" s="8" t="s">
        <v>307</v>
      </c>
      <c r="C104" s="8" t="s">
        <v>124</v>
      </c>
      <c r="D104" s="8" t="s">
        <v>72</v>
      </c>
      <c r="E104" s="38" t="n">
        <v>27357</v>
      </c>
      <c r="F104" s="38" t="n">
        <v>23554</v>
      </c>
      <c r="G104" s="38" t="n">
        <v>1391</v>
      </c>
      <c r="H104" s="38" t="n">
        <v>1211</v>
      </c>
      <c r="I104" s="39" t="n">
        <v>2.031</v>
      </c>
      <c r="J104" s="40" t="n">
        <f aca="false">IF(G104="","",G104*$N$2)</f>
        <v>111280</v>
      </c>
      <c r="K104" s="41" t="n">
        <f aca="false">IF(G104="","",J104/E104)</f>
        <v>4.06769748144899</v>
      </c>
      <c r="L104" s="42" t="n">
        <f aca="false">I104*$P$2</f>
        <v>101.55</v>
      </c>
      <c r="M104" s="43" t="n">
        <f aca="false">L104/(E104/12)</f>
        <v>0.044544357933984</v>
      </c>
      <c r="N104" s="44" t="n">
        <f aca="false">IF(F104="","",E104/F104-1)</f>
        <v>0.161458775579519</v>
      </c>
      <c r="O104" s="44" t="n">
        <f aca="false">IFERROR(SUMIFS(Dati_Case!$E$2:$E$1061,Dati_Case!$B$2:$B$1061,A104,Dati_Case!$A$2:$A$1061,2024)/H104-1,"")</f>
        <v>0.0668868703550785</v>
      </c>
      <c r="P104" s="45" t="n">
        <f aca="false">IF(K104="","",RANK(K104,$K$5:$K$111,1))</f>
        <v>60</v>
      </c>
    </row>
    <row r="105" customFormat="false" ht="15" hidden="false" customHeight="false" outlineLevel="0" collapsed="false">
      <c r="A105" s="8" t="s">
        <v>308</v>
      </c>
      <c r="B105" s="8" t="s">
        <v>309</v>
      </c>
      <c r="C105" s="8" t="s">
        <v>119</v>
      </c>
      <c r="D105" s="8" t="s">
        <v>72</v>
      </c>
      <c r="E105" s="38" t="n">
        <v>26242</v>
      </c>
      <c r="F105" s="38" t="n">
        <v>21943</v>
      </c>
      <c r="G105" s="38" t="n">
        <v>1731</v>
      </c>
      <c r="H105" s="38" t="n">
        <v>1911</v>
      </c>
      <c r="I105" s="39" t="n">
        <v>2.025</v>
      </c>
      <c r="J105" s="40" t="n">
        <f aca="false">IF(G105="","",G105*$N$2)</f>
        <v>138480</v>
      </c>
      <c r="K105" s="41" t="n">
        <f aca="false">IF(G105="","",J105/E105)</f>
        <v>5.27703681121866</v>
      </c>
      <c r="L105" s="42" t="n">
        <f aca="false">I105*$P$2</f>
        <v>101.25</v>
      </c>
      <c r="M105" s="43" t="n">
        <f aca="false">L105/(E105/12)</f>
        <v>0.0462998247084826</v>
      </c>
      <c r="N105" s="44" t="n">
        <f aca="false">IF(F105="","",E105/F105-1)</f>
        <v>0.195916693250695</v>
      </c>
      <c r="O105" s="44" t="n">
        <f aca="false">IFERROR(SUMIFS(Dati_Case!$E$2:$E$1061,Dati_Case!$B$2:$B$1061,A105,Dati_Case!$A$2:$A$1061,2024)/H105-1,"")</f>
        <v>-0.0994243851386708</v>
      </c>
      <c r="P105" s="45" t="n">
        <f aca="false">IF(K105="","",RANK(K105,$K$5:$K$111,1))</f>
        <v>85</v>
      </c>
    </row>
    <row r="106" customFormat="false" ht="15" hidden="false" customHeight="false" outlineLevel="0" collapsed="false">
      <c r="A106" s="8" t="s">
        <v>310</v>
      </c>
      <c r="B106" s="8" t="s">
        <v>311</v>
      </c>
      <c r="C106" s="8" t="s">
        <v>95</v>
      </c>
      <c r="D106" s="8" t="s">
        <v>72</v>
      </c>
      <c r="E106" s="38" t="n">
        <v>23041</v>
      </c>
      <c r="F106" s="38" t="n">
        <v>20123</v>
      </c>
      <c r="G106" s="38" t="n">
        <v>1275</v>
      </c>
      <c r="H106" s="38"/>
      <c r="I106" s="39" t="n">
        <v>2.048</v>
      </c>
      <c r="J106" s="40" t="n">
        <f aca="false">IF(G106="","",G106*$N$2)</f>
        <v>102000</v>
      </c>
      <c r="K106" s="41" t="n">
        <f aca="false">IF(G106="","",J106/E106)</f>
        <v>4.4268911939586</v>
      </c>
      <c r="L106" s="42" t="n">
        <f aca="false">I106*$P$2</f>
        <v>102.4</v>
      </c>
      <c r="M106" s="43" t="n">
        <f aca="false">L106/(E106/12)</f>
        <v>0.0533310186189836</v>
      </c>
      <c r="N106" s="44" t="n">
        <f aca="false">IF(F106="","",E106/F106-1)</f>
        <v>0.145008199572628</v>
      </c>
      <c r="O106" s="44" t="str">
        <f aca="false">IFERROR(SUMIFS(Dati_Case!$E$2:$E$1061,Dati_Case!$B$2:$B$1061,A106,Dati_Case!$A$2:$A$1061,2024)/H106-1,"")</f>
        <v/>
      </c>
      <c r="P106" s="45" t="n">
        <f aca="false">IF(K106="","",RANK(K106,$K$5:$K$111,1))</f>
        <v>68</v>
      </c>
    </row>
    <row r="107" customFormat="false" ht="15" hidden="false" customHeight="false" outlineLevel="0" collapsed="false">
      <c r="A107" s="8" t="s">
        <v>312</v>
      </c>
      <c r="B107" s="8" t="s">
        <v>313</v>
      </c>
      <c r="C107" s="8" t="s">
        <v>95</v>
      </c>
      <c r="D107" s="8" t="s">
        <v>72</v>
      </c>
      <c r="E107" s="38" t="n">
        <v>25132</v>
      </c>
      <c r="F107" s="38" t="n">
        <v>21264</v>
      </c>
      <c r="G107" s="38" t="n">
        <v>866</v>
      </c>
      <c r="H107" s="38" t="n">
        <v>1081</v>
      </c>
      <c r="I107" s="39" t="n">
        <v>2.024</v>
      </c>
      <c r="J107" s="40" t="n">
        <f aca="false">IF(G107="","",G107*$N$2)</f>
        <v>69280</v>
      </c>
      <c r="K107" s="41" t="n">
        <f aca="false">IF(G107="","",J107/E107)</f>
        <v>2.75664491484959</v>
      </c>
      <c r="L107" s="42" t="n">
        <f aca="false">I107*$P$2</f>
        <v>101.2</v>
      </c>
      <c r="M107" s="43" t="n">
        <f aca="false">L107/(E107/12)</f>
        <v>0.0483208658284259</v>
      </c>
      <c r="N107" s="44" t="n">
        <f aca="false">IF(F107="","",E107/F107-1)</f>
        <v>0.181903686982694</v>
      </c>
      <c r="O107" s="44" t="n">
        <f aca="false">IFERROR(SUMIFS(Dati_Case!$E$2:$E$1061,Dati_Case!$B$2:$B$1061,A107,Dati_Case!$A$2:$A$1061,2024)/H107-1,"")</f>
        <v>-0.199814986123959</v>
      </c>
      <c r="P107" s="45" t="n">
        <f aca="false">IF(K107="","",RANK(K107,$K$5:$K$111,1))</f>
        <v>15</v>
      </c>
    </row>
    <row r="108" customFormat="false" ht="15" hidden="false" customHeight="false" outlineLevel="0" collapsed="false">
      <c r="A108" s="8" t="s">
        <v>314</v>
      </c>
      <c r="B108" s="8" t="s">
        <v>315</v>
      </c>
      <c r="C108" s="8" t="s">
        <v>119</v>
      </c>
      <c r="D108" s="8" t="s">
        <v>72</v>
      </c>
      <c r="E108" s="38" t="n">
        <v>26202</v>
      </c>
      <c r="F108" s="38" t="n">
        <v>21965</v>
      </c>
      <c r="G108" s="38" t="n">
        <v>1717</v>
      </c>
      <c r="H108" s="38" t="n">
        <v>1404</v>
      </c>
      <c r="I108" s="39" t="n">
        <v>2.031</v>
      </c>
      <c r="J108" s="40" t="n">
        <f aca="false">IF(G108="","",G108*$N$2)</f>
        <v>137360</v>
      </c>
      <c r="K108" s="41" t="n">
        <f aca="false">IF(G108="","",J108/E108)</f>
        <v>5.2423479123731</v>
      </c>
      <c r="L108" s="42" t="n">
        <f aca="false">I108*$P$2</f>
        <v>101.55</v>
      </c>
      <c r="M108" s="43" t="n">
        <f aca="false">L108/(E108/12)</f>
        <v>0.0465079001602931</v>
      </c>
      <c r="N108" s="44" t="n">
        <f aca="false">IF(F108="","",E108/F108-1)</f>
        <v>0.192897791941725</v>
      </c>
      <c r="O108" s="44" t="n">
        <f aca="false">IFERROR(SUMIFS(Dati_Case!$E$2:$E$1061,Dati_Case!$B$2:$B$1061,A108,Dati_Case!$A$2:$A$1061,2024)/H108-1,"")</f>
        <v>0.145299145299145</v>
      </c>
      <c r="P108" s="45" t="n">
        <f aca="false">IF(K108="","",RANK(K108,$K$5:$K$111,1))</f>
        <v>84</v>
      </c>
    </row>
    <row r="109" customFormat="false" ht="15" hidden="false" customHeight="false" outlineLevel="0" collapsed="false">
      <c r="A109" s="8" t="s">
        <v>316</v>
      </c>
      <c r="B109" s="8" t="s">
        <v>317</v>
      </c>
      <c r="C109" s="8" t="s">
        <v>151</v>
      </c>
      <c r="D109" s="8" t="s">
        <v>74</v>
      </c>
      <c r="E109" s="38" t="n">
        <v>17913</v>
      </c>
      <c r="F109" s="38" t="n">
        <v>14266</v>
      </c>
      <c r="G109" s="38" t="n">
        <v>591</v>
      </c>
      <c r="H109" s="38" t="n">
        <v>614</v>
      </c>
      <c r="I109" s="39" t="n">
        <v>2.058</v>
      </c>
      <c r="J109" s="40" t="n">
        <f aca="false">IF(G109="","",G109*$N$2)</f>
        <v>47280</v>
      </c>
      <c r="K109" s="41" t="n">
        <f aca="false">IF(G109="","",J109/E109)</f>
        <v>2.6394238820968</v>
      </c>
      <c r="L109" s="42" t="n">
        <f aca="false">I109*$P$2</f>
        <v>102.9</v>
      </c>
      <c r="M109" s="43" t="n">
        <f aca="false">L109/(E109/12)</f>
        <v>0.0689331770222743</v>
      </c>
      <c r="N109" s="44" t="n">
        <f aca="false">IF(F109="","",E109/F109-1)</f>
        <v>0.255642787046124</v>
      </c>
      <c r="O109" s="44" t="n">
        <f aca="false">IFERROR(SUMIFS(Dati_Case!$E$2:$E$1061,Dati_Case!$B$2:$B$1061,A109,Dati_Case!$A$2:$A$1061,2024)/H109-1,"")</f>
        <v>-0.0439739413680782</v>
      </c>
      <c r="P109" s="45" t="n">
        <f aca="false">IF(K109="","",RANK(K109,$K$5:$K$111,1))</f>
        <v>8</v>
      </c>
    </row>
    <row r="110" customFormat="false" ht="15" hidden="false" customHeight="false" outlineLevel="0" collapsed="false">
      <c r="A110" s="8" t="s">
        <v>318</v>
      </c>
      <c r="B110" s="8" t="s">
        <v>319</v>
      </c>
      <c r="C110" s="8" t="s">
        <v>119</v>
      </c>
      <c r="D110" s="8" t="s">
        <v>72</v>
      </c>
      <c r="E110" s="38" t="n">
        <v>26578</v>
      </c>
      <c r="F110" s="38" t="n">
        <v>22419</v>
      </c>
      <c r="G110" s="38" t="n">
        <v>1340</v>
      </c>
      <c r="H110" s="38" t="n">
        <v>1433</v>
      </c>
      <c r="I110" s="39" t="n">
        <v>2.038</v>
      </c>
      <c r="J110" s="40" t="n">
        <f aca="false">IF(G110="","",G110*$N$2)</f>
        <v>107200</v>
      </c>
      <c r="K110" s="41" t="n">
        <f aca="false">IF(G110="","",J110/E110)</f>
        <v>4.0334110918805</v>
      </c>
      <c r="L110" s="42" t="n">
        <f aca="false">I110*$P$2</f>
        <v>101.9</v>
      </c>
      <c r="M110" s="43" t="n">
        <f aca="false">L110/(E110/12)</f>
        <v>0.0460079765219354</v>
      </c>
      <c r="N110" s="44" t="n">
        <f aca="false">IF(F110="","",E110/F110-1)</f>
        <v>0.185512288683706</v>
      </c>
      <c r="O110" s="44" t="n">
        <f aca="false">IFERROR(SUMIFS(Dati_Case!$E$2:$E$1061,Dati_Case!$B$2:$B$1061,A110,Dati_Case!$A$2:$A$1061,2024)/H110-1,"")</f>
        <v>-0.0781577110956037</v>
      </c>
      <c r="P110" s="45" t="n">
        <f aca="false">IF(K110="","",RANK(K110,$K$5:$K$111,1))</f>
        <v>58</v>
      </c>
    </row>
    <row r="111" customFormat="false" ht="15" hidden="false" customHeight="false" outlineLevel="0" collapsed="false">
      <c r="A111" s="8" t="s">
        <v>320</v>
      </c>
      <c r="B111" s="8" t="s">
        <v>321</v>
      </c>
      <c r="C111" s="8" t="s">
        <v>179</v>
      </c>
      <c r="D111" s="8" t="s">
        <v>73</v>
      </c>
      <c r="E111" s="38" t="n">
        <v>22107</v>
      </c>
      <c r="F111" s="38" t="n">
        <v>18438</v>
      </c>
      <c r="G111" s="38" t="n">
        <v>1200</v>
      </c>
      <c r="H111" s="38" t="n">
        <v>1266</v>
      </c>
      <c r="I111" s="39" t="n">
        <v>2</v>
      </c>
      <c r="J111" s="40" t="n">
        <f aca="false">IF(G111="","",G111*$N$2)</f>
        <v>96000</v>
      </c>
      <c r="K111" s="41" t="n">
        <f aca="false">IF(G111="","",J111/E111)</f>
        <v>4.34251594517574</v>
      </c>
      <c r="L111" s="42" t="n">
        <f aca="false">I111*$P$2</f>
        <v>100</v>
      </c>
      <c r="M111" s="43" t="n">
        <f aca="false">L111/(E111/12)</f>
        <v>0.0542814493146967</v>
      </c>
      <c r="N111" s="44" t="n">
        <f aca="false">IF(F111="","",E111/F111-1)</f>
        <v>0.198991213797592</v>
      </c>
      <c r="O111" s="44" t="n">
        <f aca="false">IFERROR(SUMIFS(Dati_Case!$E$2:$E$1061,Dati_Case!$B$2:$B$1061,A111,Dati_Case!$A$2:$A$1061,2024)/H111-1,"")</f>
        <v>-0.0466034755134281</v>
      </c>
      <c r="P111" s="45" t="n">
        <f aca="false">IF(K111="","",RANK(K111,$K$5:$K$111,1))</f>
        <v>64</v>
      </c>
    </row>
  </sheetData>
  <autoFilter ref="A4:P111"/>
  <conditionalFormatting sqref="K5:K1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5:E111">
    <cfRule type="dataBar" priority="3">
      <dataBar showValue="1" minLength="10" maxLength="90">
        <cfvo type="num" val="0"/>
        <cfvo type="max" val="0"/>
        <color rgb="FF1F7A8C"/>
      </dataBar>
      <extLst>
        <ext xmlns:x14="http://schemas.microsoft.com/office/spreadsheetml/2009/9/main" uri="{B025F937-C7B1-47D3-B67F-A62EFF666E3E}">
          <x14:id>{692F8740-66CA-4270-BEBB-BAE7101358AF}</x14:id>
        </ext>
      </extLst>
    </cfRule>
  </conditionalFormatting>
  <conditionalFormatting sqref="G5:G111">
    <cfRule type="dataBar" priority="4">
      <dataBar showValue="1" minLength="10" maxLength="90">
        <cfvo type="num" val="0"/>
        <cfvo type="max" val="0"/>
        <color rgb="FFC65D3B"/>
      </dataBar>
      <extLst>
        <ext xmlns:x14="http://schemas.microsoft.com/office/spreadsheetml/2009/9/main" uri="{B025F937-C7B1-47D3-B67F-A62EFF666E3E}">
          <x14:id>{90A93188-7B2A-40D2-B62F-EC8872AF38D5}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2F8740-66CA-4270-BEBB-BAE7101358AF}">
            <x14:dataBar minLength="10" maxLength="90" axisPosition="none" gradient="true">
              <x14:cfvo type="num">
                <xm:f>0</xm:f>
              </x14:cfvo>
              <x14:cfvo type="max"/>
              <x14:negativeFillColor rgb="FF1F7A8C"/>
              <x14:axisColor rgb="FF000000"/>
            </x14:dataBar>
          </x14:cfRule>
          <xm:sqref>E5:E111</xm:sqref>
        </x14:conditionalFormatting>
        <x14:conditionalFormatting xmlns:xm="http://schemas.microsoft.com/office/excel/2006/main">
          <x14:cfRule type="dataBar" id="{90A93188-7B2A-40D2-B62F-EC8872AF38D5}">
            <x14:dataBar minLength="10" maxLength="90" axisPosition="none" gradient="true">
              <x14:cfvo type="num">
                <xm:f>0</xm:f>
              </x14:cfvo>
              <x14:cfvo type="max"/>
              <x14:negativeFillColor rgb="FFC65D3B"/>
              <x14:axisColor rgb="FF000000"/>
            </x14:dataBar>
          </x14:cfRule>
          <xm:sqref>G5:G111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6" min="3" style="0" width="14"/>
  </cols>
  <sheetData>
    <row r="1" customFormat="false" ht="19.7" hidden="false" customHeight="false" outlineLevel="0" collapsed="false">
      <c r="A1" s="1" t="s">
        <v>322</v>
      </c>
    </row>
    <row r="2" customFormat="false" ht="15" hidden="false" customHeight="false" outlineLevel="0" collapsed="false">
      <c r="A2" s="2" t="s">
        <v>323</v>
      </c>
    </row>
    <row r="4" customFormat="false" ht="39.55" hidden="false" customHeight="false" outlineLevel="0" collapsed="false">
      <c r="A4" s="5" t="s">
        <v>53</v>
      </c>
      <c r="B4" s="5" t="s">
        <v>324</v>
      </c>
      <c r="C4" s="5" t="s">
        <v>325</v>
      </c>
      <c r="D4" s="5" t="s">
        <v>326</v>
      </c>
      <c r="E4" s="5" t="s">
        <v>57</v>
      </c>
      <c r="F4" s="5" t="s">
        <v>327</v>
      </c>
    </row>
    <row r="5" customFormat="false" ht="15" hidden="false" customHeight="false" outlineLevel="0" collapsed="false">
      <c r="A5" s="7" t="s">
        <v>72</v>
      </c>
      <c r="B5" s="36" t="n">
        <f aca="false">COUNTIF(Province!$D$5:$D$111,A5)</f>
        <v>47</v>
      </c>
      <c r="C5" s="32" t="n">
        <f aca="false">AVERAGEIFS(Province!$E$5:$E$111,Province!$D$5:$D$111,A5)</f>
        <v>26490.4680851064</v>
      </c>
      <c r="D5" s="32" t="n">
        <f aca="false">AVERAGEIFS(Province!$G$5:$G$111,Province!$D$5:$D$111,A5)</f>
        <v>1496.29787234043</v>
      </c>
      <c r="E5" s="33" t="n">
        <f aca="false">AVERAGEIFS(Province!$K$5:$K$111,Province!$D$5:$D$111,A5)</f>
        <v>4.50176719189792</v>
      </c>
      <c r="F5" s="46" t="n">
        <f aca="false">AVERAGEIFS(Province!$M$5:$M$111,Province!$D$5:$D$111,A5)</f>
        <v>0.0461993416039519</v>
      </c>
    </row>
    <row r="6" customFormat="false" ht="15" hidden="false" customHeight="false" outlineLevel="0" collapsed="false">
      <c r="A6" s="7" t="s">
        <v>73</v>
      </c>
      <c r="B6" s="36" t="n">
        <f aca="false">COUNTIF(Province!$D$5:$D$111,A6)</f>
        <v>22</v>
      </c>
      <c r="C6" s="32" t="n">
        <f aca="false">AVERAGEIFS(Province!$E$5:$E$111,Province!$D$5:$D$111,A6)</f>
        <v>24323.9090909091</v>
      </c>
      <c r="D6" s="32" t="n">
        <f aca="false">AVERAGEIFS(Province!$G$5:$G$111,Province!$D$5:$D$111,A6)</f>
        <v>1442.86363636364</v>
      </c>
      <c r="E6" s="33" t="n">
        <f aca="false">AVERAGEIFS(Province!$K$5:$K$111,Province!$D$5:$D$111,A6)</f>
        <v>4.70341172876341</v>
      </c>
      <c r="F6" s="46" t="n">
        <f aca="false">AVERAGEIFS(Province!$M$5:$M$111,Province!$D$5:$D$111,A6)</f>
        <v>0.0503389039844688</v>
      </c>
    </row>
    <row r="7" customFormat="false" ht="15" hidden="false" customHeight="false" outlineLevel="0" collapsed="false">
      <c r="A7" s="7" t="s">
        <v>74</v>
      </c>
      <c r="B7" s="36" t="n">
        <f aca="false">COUNTIF(Province!$D$5:$D$111,A7)</f>
        <v>24</v>
      </c>
      <c r="C7" s="32" t="n">
        <f aca="false">AVERAGEIFS(Province!$E$5:$E$111,Province!$D$5:$D$111,A7)</f>
        <v>20050.5416666667</v>
      </c>
      <c r="D7" s="32" t="n">
        <f aca="false">AVERAGEIFS(Province!$G$5:$G$111,Province!$D$5:$D$111,A7)</f>
        <v>890.375</v>
      </c>
      <c r="E7" s="33" t="n">
        <f aca="false">AVERAGEIFS(Province!$K$5:$K$111,Province!$D$5:$D$111,A7)</f>
        <v>3.53921068872757</v>
      </c>
      <c r="F7" s="46" t="n">
        <f aca="false">AVERAGEIFS(Province!$M$5:$M$111,Province!$D$5:$D$111,A7)</f>
        <v>0.0617946735291353</v>
      </c>
    </row>
    <row r="8" customFormat="false" ht="15" hidden="false" customHeight="false" outlineLevel="0" collapsed="false">
      <c r="A8" s="7" t="s">
        <v>75</v>
      </c>
      <c r="B8" s="36" t="n">
        <f aca="false">COUNTIF(Province!$D$5:$D$111,A8)</f>
        <v>14</v>
      </c>
      <c r="C8" s="32" t="n">
        <f aca="false">AVERAGEIFS(Province!$E$5:$E$111,Province!$D$5:$D$111,A8)</f>
        <v>20126.0714285714</v>
      </c>
      <c r="D8" s="32" t="n">
        <f aca="false">AVERAGEIFS(Province!$G$5:$G$111,Province!$D$5:$D$111,A8)</f>
        <v>921.230769230769</v>
      </c>
      <c r="E8" s="33" t="n">
        <f aca="false">AVERAGEIFS(Province!$K$5:$K$111,Province!$D$5:$D$111,A8)</f>
        <v>3.61421812722264</v>
      </c>
      <c r="F8" s="46" t="n">
        <f aca="false">AVERAGEIFS(Province!$M$5:$M$111,Province!$D$5:$D$111,A8)</f>
        <v>0.0613296083575026</v>
      </c>
    </row>
    <row r="9" customFormat="false" ht="15" hidden="false" customHeight="false" outlineLevel="0" collapsed="false">
      <c r="A9" s="7" t="s">
        <v>328</v>
      </c>
      <c r="B9" s="36" t="n">
        <f aca="false">SUM(B5:B8)</f>
        <v>107</v>
      </c>
      <c r="C9" s="47" t="n">
        <f aca="false">AVERAGE(Province!$E$5:$E$111)</f>
        <v>23767.8130841122</v>
      </c>
      <c r="D9" s="47" t="n">
        <f aca="false">AVERAGE(Province!$G$5:$G$111)</f>
        <v>1277.49056603774</v>
      </c>
      <c r="E9" s="48" t="n">
        <f aca="false">AVERAGE(Province!$K$5:$K$111)</f>
        <v>4.21683026637126</v>
      </c>
      <c r="F9" s="49" t="n">
        <f aca="false">AVERAGE(Province!$M$5:$M$111)</f>
        <v>0.0525281460256854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4"/>
  </cols>
  <sheetData>
    <row r="1" customFormat="false" ht="19.7" hidden="false" customHeight="false" outlineLevel="0" collapsed="false">
      <c r="A1" s="1" t="s">
        <v>329</v>
      </c>
    </row>
    <row r="2" customFormat="false" ht="15" hidden="false" customHeight="false" outlineLevel="0" collapsed="false">
      <c r="A2" s="2" t="s">
        <v>330</v>
      </c>
    </row>
    <row r="4" customFormat="false" ht="26.85" hidden="false" customHeight="false" outlineLevel="0" collapsed="false">
      <c r="A4" s="50" t="s">
        <v>331</v>
      </c>
      <c r="B4" s="50" t="s">
        <v>332</v>
      </c>
      <c r="C4" s="50" t="s">
        <v>333</v>
      </c>
      <c r="D4" s="50" t="s">
        <v>334</v>
      </c>
      <c r="E4" s="50" t="s">
        <v>335</v>
      </c>
      <c r="F4" s="50" t="s">
        <v>336</v>
      </c>
    </row>
    <row r="5" customFormat="false" ht="15" hidden="false" customHeight="false" outlineLevel="0" collapsed="false">
      <c r="A5" s="0" t="n">
        <v>2016</v>
      </c>
      <c r="B5" s="32" t="n">
        <f aca="false">AVERAGEIFS(Dati_Redditi!$F$2:$F$963,Dati_Redditi!$A$2:$A$963,$A5,Dati_Redditi!$D$2:$D$963,"Nord")</f>
        <v>22297.4468085106</v>
      </c>
      <c r="C5" s="32" t="n">
        <f aca="false">AVERAGEIFS(Dati_Redditi!$F$2:$F$963,Dati_Redditi!$A$2:$A$963,$A5,Dati_Redditi!$D$2:$D$963,"Centro")</f>
        <v>20180.6818181818</v>
      </c>
      <c r="D5" s="32" t="n">
        <f aca="false">AVERAGEIFS(Dati_Redditi!$F$2:$F$963,Dati_Redditi!$A$2:$A$963,$A5,Dati_Redditi!$D$2:$D$963,"Sud")</f>
        <v>16200.125</v>
      </c>
      <c r="E5" s="32" t="n">
        <f aca="false">AVERAGEIFS(Dati_Redditi!$F$2:$F$963,Dati_Redditi!$A$2:$A$963,$A5,Dati_Redditi!$D$2:$D$963,"Isole")</f>
        <v>16265.3846153846</v>
      </c>
      <c r="F5" s="6" t="n">
        <v>100</v>
      </c>
    </row>
    <row r="6" customFormat="false" ht="15" hidden="false" customHeight="false" outlineLevel="0" collapsed="false">
      <c r="A6" s="0" t="n">
        <v>2017</v>
      </c>
      <c r="B6" s="32" t="n">
        <f aca="false">AVERAGEIFS(Dati_Redditi!$F$2:$F$963,Dati_Redditi!$A$2:$A$963,$A6,Dati_Redditi!$D$2:$D$963,"Nord")</f>
        <v>22411.9574468085</v>
      </c>
      <c r="C6" s="32" t="n">
        <f aca="false">AVERAGEIFS(Dati_Redditi!$F$2:$F$963,Dati_Redditi!$A$2:$A$963,$A6,Dati_Redditi!$D$2:$D$963,"Centro")</f>
        <v>20258.6818181818</v>
      </c>
      <c r="D6" s="32" t="n">
        <f aca="false">AVERAGEIFS(Dati_Redditi!$F$2:$F$963,Dati_Redditi!$A$2:$A$963,$A6,Dati_Redditi!$D$2:$D$963,"Sud")</f>
        <v>16250.5</v>
      </c>
      <c r="E6" s="32" t="n">
        <f aca="false">AVERAGEIFS(Dati_Redditi!$F$2:$F$963,Dati_Redditi!$A$2:$A$963,$A6,Dati_Redditi!$D$2:$D$963,"Isole")</f>
        <v>16404.7857142857</v>
      </c>
      <c r="F6" s="6" t="n">
        <v>101.2</v>
      </c>
    </row>
    <row r="7" customFormat="false" ht="15" hidden="false" customHeight="false" outlineLevel="0" collapsed="false">
      <c r="A7" s="0" t="n">
        <v>2018</v>
      </c>
      <c r="B7" s="32" t="n">
        <f aca="false">AVERAGEIFS(Dati_Redditi!$F$2:$F$963,Dati_Redditi!$A$2:$A$963,$A7,Dati_Redditi!$D$2:$D$963,"Nord")</f>
        <v>22917.3404255319</v>
      </c>
      <c r="C7" s="32" t="n">
        <f aca="false">AVERAGEIFS(Dati_Redditi!$F$2:$F$963,Dati_Redditi!$A$2:$A$963,$A7,Dati_Redditi!$D$2:$D$963,"Centro")</f>
        <v>20738.0909090909</v>
      </c>
      <c r="D7" s="32" t="n">
        <f aca="false">AVERAGEIFS(Dati_Redditi!$F$2:$F$963,Dati_Redditi!$A$2:$A$963,$A7,Dati_Redditi!$D$2:$D$963,"Sud")</f>
        <v>16607.7083333333</v>
      </c>
      <c r="E7" s="32" t="n">
        <f aca="false">AVERAGEIFS(Dati_Redditi!$F$2:$F$963,Dati_Redditi!$A$2:$A$963,$A7,Dati_Redditi!$D$2:$D$963,"Isole")</f>
        <v>16757.0714285714</v>
      </c>
      <c r="F7" s="6" t="n">
        <v>102.3</v>
      </c>
    </row>
    <row r="8" customFormat="false" ht="15" hidden="false" customHeight="false" outlineLevel="0" collapsed="false">
      <c r="A8" s="0" t="n">
        <v>2019</v>
      </c>
      <c r="B8" s="32" t="n">
        <f aca="false">AVERAGEIFS(Dati_Redditi!$F$2:$F$963,Dati_Redditi!$A$2:$A$963,$A8,Dati_Redditi!$D$2:$D$963,"Nord")</f>
        <v>23062.1489361702</v>
      </c>
      <c r="C8" s="32" t="n">
        <f aca="false">AVERAGEIFS(Dati_Redditi!$F$2:$F$963,Dati_Redditi!$A$2:$A$963,$A8,Dati_Redditi!$D$2:$D$963,"Centro")</f>
        <v>20906.1818181818</v>
      </c>
      <c r="D8" s="32" t="n">
        <f aca="false">AVERAGEIFS(Dati_Redditi!$F$2:$F$963,Dati_Redditi!$A$2:$A$963,$A8,Dati_Redditi!$D$2:$D$963,"Sud")</f>
        <v>16760.8333333333</v>
      </c>
      <c r="E8" s="32" t="n">
        <f aca="false">AVERAGEIFS(Dati_Redditi!$F$2:$F$963,Dati_Redditi!$A$2:$A$963,$A8,Dati_Redditi!$D$2:$D$963,"Isole")</f>
        <v>16893.7142857143</v>
      </c>
      <c r="F8" s="6" t="n">
        <v>102.9</v>
      </c>
    </row>
    <row r="9" customFormat="false" ht="15" hidden="false" customHeight="false" outlineLevel="0" collapsed="false">
      <c r="A9" s="0" t="n">
        <v>2020</v>
      </c>
      <c r="B9" s="32" t="n">
        <f aca="false">AVERAGEIFS(Dati_Redditi!$F$2:$F$963,Dati_Redditi!$A$2:$A$963,$A9,Dati_Redditi!$D$2:$D$963,"Nord")</f>
        <v>22762.2127659574</v>
      </c>
      <c r="C9" s="32" t="n">
        <f aca="false">AVERAGEIFS(Dati_Redditi!$F$2:$F$963,Dati_Redditi!$A$2:$A$963,$A9,Dati_Redditi!$D$2:$D$963,"Centro")</f>
        <v>20685.5454545455</v>
      </c>
      <c r="D9" s="32" t="n">
        <f aca="false">AVERAGEIFS(Dati_Redditi!$F$2:$F$963,Dati_Redditi!$A$2:$A$963,$A9,Dati_Redditi!$D$2:$D$963,"Sud")</f>
        <v>16793.8333333333</v>
      </c>
      <c r="E9" s="32" t="n">
        <f aca="false">AVERAGEIFS(Dati_Redditi!$F$2:$F$963,Dati_Redditi!$A$2:$A$963,$A9,Dati_Redditi!$D$2:$D$963,"Isole")</f>
        <v>16887.4285714286</v>
      </c>
      <c r="F9" s="6" t="n">
        <v>102.8</v>
      </c>
    </row>
    <row r="10" customFormat="false" ht="15" hidden="false" customHeight="false" outlineLevel="0" collapsed="false">
      <c r="A10" s="0" t="n">
        <v>2021</v>
      </c>
      <c r="B10" s="32" t="n">
        <f aca="false">AVERAGEIFS(Dati_Redditi!$F$2:$F$963,Dati_Redditi!$A$2:$A$963,$A10,Dati_Redditi!$D$2:$D$963,"Nord")</f>
        <v>23816.0212765957</v>
      </c>
      <c r="C10" s="32" t="n">
        <f aca="false">AVERAGEIFS(Dati_Redditi!$F$2:$F$963,Dati_Redditi!$A$2:$A$963,$A10,Dati_Redditi!$D$2:$D$963,"Centro")</f>
        <v>21590.6363636364</v>
      </c>
      <c r="D10" s="32" t="n">
        <f aca="false">AVERAGEIFS(Dati_Redditi!$F$2:$F$963,Dati_Redditi!$A$2:$A$963,$A10,Dati_Redditi!$D$2:$D$963,"Sud")</f>
        <v>17514.9583333333</v>
      </c>
      <c r="E10" s="32" t="n">
        <f aca="false">AVERAGEIFS(Dati_Redditi!$F$2:$F$963,Dati_Redditi!$A$2:$A$963,$A10,Dati_Redditi!$D$2:$D$963,"Isole")</f>
        <v>17562.1428571429</v>
      </c>
      <c r="F10" s="6" t="n">
        <v>104.8</v>
      </c>
    </row>
    <row r="11" customFormat="false" ht="15" hidden="false" customHeight="false" outlineLevel="0" collapsed="false">
      <c r="A11" s="0" t="n">
        <v>2022</v>
      </c>
      <c r="B11" s="32" t="n">
        <f aca="false">AVERAGEIFS(Dati_Redditi!$F$2:$F$963,Dati_Redditi!$A$2:$A$963,$A11,Dati_Redditi!$D$2:$D$963,"Nord")</f>
        <v>24968.7659574468</v>
      </c>
      <c r="C11" s="32" t="n">
        <f aca="false">AVERAGEIFS(Dati_Redditi!$F$2:$F$963,Dati_Redditi!$A$2:$A$963,$A11,Dati_Redditi!$D$2:$D$963,"Centro")</f>
        <v>22691.5454545455</v>
      </c>
      <c r="D11" s="32" t="n">
        <f aca="false">AVERAGEIFS(Dati_Redditi!$F$2:$F$963,Dati_Redditi!$A$2:$A$963,$A11,Dati_Redditi!$D$2:$D$963,"Sud")</f>
        <v>18429.3333333333</v>
      </c>
      <c r="E11" s="32" t="n">
        <f aca="false">AVERAGEIFS(Dati_Redditi!$F$2:$F$963,Dati_Redditi!$A$2:$A$963,$A11,Dati_Redditi!$D$2:$D$963,"Isole")</f>
        <v>18455.6428571429</v>
      </c>
      <c r="F11" s="6" t="n">
        <v>113.4</v>
      </c>
    </row>
    <row r="12" customFormat="false" ht="15" hidden="false" customHeight="false" outlineLevel="0" collapsed="false">
      <c r="A12" s="0" t="n">
        <v>2023</v>
      </c>
      <c r="B12" s="32" t="n">
        <f aca="false">AVERAGEIFS(Dati_Redditi!$F$2:$F$963,Dati_Redditi!$A$2:$A$963,$A12,Dati_Redditi!$D$2:$D$963,"Nord")</f>
        <v>25525.5531914894</v>
      </c>
      <c r="C12" s="32" t="n">
        <f aca="false">AVERAGEIFS(Dati_Redditi!$F$2:$F$963,Dati_Redditi!$A$2:$A$963,$A12,Dati_Redditi!$D$2:$D$963,"Centro")</f>
        <v>23367.3636363636</v>
      </c>
      <c r="D12" s="32" t="n">
        <f aca="false">AVERAGEIFS(Dati_Redditi!$F$2:$F$963,Dati_Redditi!$A$2:$A$963,$A12,Dati_Redditi!$D$2:$D$963,"Sud")</f>
        <v>19194.0416666667</v>
      </c>
      <c r="E12" s="32" t="n">
        <f aca="false">AVERAGEIFS(Dati_Redditi!$F$2:$F$963,Dati_Redditi!$A$2:$A$963,$A12,Dati_Redditi!$D$2:$D$963,"Isole")</f>
        <v>19266.8571428571</v>
      </c>
      <c r="F12" s="6" t="n">
        <v>119.7</v>
      </c>
    </row>
    <row r="13" customFormat="false" ht="15" hidden="false" customHeight="false" outlineLevel="0" collapsed="false">
      <c r="A13" s="0" t="n">
        <v>2024</v>
      </c>
      <c r="B13" s="32" t="n">
        <f aca="false">AVERAGEIFS(Dati_Redditi!$F$2:$F$963,Dati_Redditi!$A$2:$A$963,$A13,Dati_Redditi!$D$2:$D$963,"Nord")</f>
        <v>26490.4680851064</v>
      </c>
      <c r="C13" s="32" t="n">
        <f aca="false">AVERAGEIFS(Dati_Redditi!$F$2:$F$963,Dati_Redditi!$A$2:$A$963,$A13,Dati_Redditi!$D$2:$D$963,"Centro")</f>
        <v>24323.9090909091</v>
      </c>
      <c r="D13" s="32" t="n">
        <f aca="false">AVERAGEIFS(Dati_Redditi!$F$2:$F$963,Dati_Redditi!$A$2:$A$963,$A13,Dati_Redditi!$D$2:$D$963,"Sud")</f>
        <v>20050.5416666667</v>
      </c>
      <c r="E13" s="32" t="n">
        <f aca="false">AVERAGEIFS(Dati_Redditi!$F$2:$F$963,Dati_Redditi!$A$2:$A$963,$A13,Dati_Redditi!$D$2:$D$963,"Isole")</f>
        <v>20126.0714285714</v>
      </c>
      <c r="F13" s="6" t="n">
        <v>120.9</v>
      </c>
    </row>
    <row r="16" customFormat="false" ht="26.85" hidden="false" customHeight="false" outlineLevel="0" collapsed="false">
      <c r="A16" s="51" t="s">
        <v>331</v>
      </c>
      <c r="B16" s="51" t="s">
        <v>337</v>
      </c>
      <c r="C16" s="51" t="s">
        <v>338</v>
      </c>
      <c r="D16" s="51" t="s">
        <v>339</v>
      </c>
      <c r="E16" s="51" t="s">
        <v>340</v>
      </c>
    </row>
    <row r="17" customFormat="false" ht="15" hidden="false" customHeight="false" outlineLevel="0" collapsed="false">
      <c r="A17" s="0" t="n">
        <v>2016</v>
      </c>
      <c r="B17" s="32" t="n">
        <f aca="false">AVERAGEIFS(Dati_Case!$E$2:$E$1061,Dati_Case!$A$2:$A$1061,$A17,Dati_Case!$D$2:$D$1061,"Nord")</f>
        <v>1485.10869565217</v>
      </c>
      <c r="C17" s="32" t="n">
        <f aca="false">AVERAGEIFS(Dati_Case!$E$2:$E$1061,Dati_Case!$A$2:$A$1061,$A17,Dati_Case!$D$2:$D$1061,"Centro")</f>
        <v>1590.09090909091</v>
      </c>
      <c r="D17" s="32" t="n">
        <f aca="false">AVERAGEIFS(Dati_Case!$E$2:$E$1061,Dati_Case!$A$2:$A$1061,$A17,Dati_Case!$D$2:$D$1061,"Sud")</f>
        <v>892.521739130435</v>
      </c>
      <c r="E17" s="32" t="n">
        <f aca="false">AVERAGEIFS(Dati_Case!$E$2:$E$1061,Dati_Case!$A$2:$A$1061,$A17,Dati_Case!$D$2:$D$1061,"Isole")</f>
        <v>965.538461538462</v>
      </c>
    </row>
    <row r="18" customFormat="false" ht="15" hidden="false" customHeight="false" outlineLevel="0" collapsed="false">
      <c r="A18" s="0" t="n">
        <v>2017</v>
      </c>
      <c r="B18" s="32" t="n">
        <f aca="false">AVERAGEIFS(Dati_Case!$E$2:$E$1061,Dati_Case!$A$2:$A$1061,$A18,Dati_Case!$D$2:$D$1061,"Nord")</f>
        <v>1459.44680851064</v>
      </c>
      <c r="C18" s="32" t="n">
        <f aca="false">AVERAGEIFS(Dati_Case!$E$2:$E$1061,Dati_Case!$A$2:$A$1061,$A18,Dati_Case!$D$2:$D$1061,"Centro")</f>
        <v>1545.40909090909</v>
      </c>
      <c r="D18" s="32" t="n">
        <f aca="false">AVERAGEIFS(Dati_Case!$E$2:$E$1061,Dati_Case!$A$2:$A$1061,$A18,Dati_Case!$D$2:$D$1061,"Sud")</f>
        <v>897</v>
      </c>
      <c r="E18" s="32" t="n">
        <f aca="false">AVERAGEIFS(Dati_Case!$E$2:$E$1061,Dati_Case!$A$2:$A$1061,$A18,Dati_Case!$D$2:$D$1061,"Isole")</f>
        <v>954.076923076923</v>
      </c>
    </row>
    <row r="19" customFormat="false" ht="15" hidden="false" customHeight="false" outlineLevel="0" collapsed="false">
      <c r="A19" s="0" t="n">
        <v>2018</v>
      </c>
      <c r="B19" s="32" t="n">
        <f aca="false">AVERAGEIFS(Dati_Case!$E$2:$E$1061,Dati_Case!$A$2:$A$1061,$A19,Dati_Case!$D$2:$D$1061,"Nord")</f>
        <v>1447.51063829787</v>
      </c>
      <c r="C19" s="32" t="n">
        <f aca="false">AVERAGEIFS(Dati_Case!$E$2:$E$1061,Dati_Case!$A$2:$A$1061,$A19,Dati_Case!$D$2:$D$1061,"Centro")</f>
        <v>1509.90909090909</v>
      </c>
      <c r="D19" s="32" t="n">
        <f aca="false">AVERAGEIFS(Dati_Case!$E$2:$E$1061,Dati_Case!$A$2:$A$1061,$A19,Dati_Case!$D$2:$D$1061,"Sud")</f>
        <v>898.173913043478</v>
      </c>
      <c r="E19" s="32" t="n">
        <f aca="false">AVERAGEIFS(Dati_Case!$E$2:$E$1061,Dati_Case!$A$2:$A$1061,$A19,Dati_Case!$D$2:$D$1061,"Isole")</f>
        <v>944.307692307692</v>
      </c>
    </row>
    <row r="20" customFormat="false" ht="15" hidden="false" customHeight="false" outlineLevel="0" collapsed="false">
      <c r="A20" s="0" t="n">
        <v>2019</v>
      </c>
      <c r="B20" s="32" t="n">
        <f aca="false">AVERAGEIFS(Dati_Case!$E$2:$E$1061,Dati_Case!$A$2:$A$1061,$A20,Dati_Case!$D$2:$D$1061,"Nord")</f>
        <v>1438</v>
      </c>
      <c r="C20" s="32" t="n">
        <f aca="false">AVERAGEIFS(Dati_Case!$E$2:$E$1061,Dati_Case!$A$2:$A$1061,$A20,Dati_Case!$D$2:$D$1061,"Centro")</f>
        <v>1485.04545454545</v>
      </c>
      <c r="D20" s="32" t="n">
        <f aca="false">AVERAGEIFS(Dati_Case!$E$2:$E$1061,Dati_Case!$A$2:$A$1061,$A20,Dati_Case!$D$2:$D$1061,"Sud")</f>
        <v>903.541666666667</v>
      </c>
      <c r="E20" s="32" t="n">
        <f aca="false">AVERAGEIFS(Dati_Case!$E$2:$E$1061,Dati_Case!$A$2:$A$1061,$A20,Dati_Case!$D$2:$D$1061,"Isole")</f>
        <v>936.692307692308</v>
      </c>
    </row>
    <row r="21" customFormat="false" ht="15" hidden="false" customHeight="false" outlineLevel="0" collapsed="false">
      <c r="A21" s="0" t="n">
        <v>2020</v>
      </c>
      <c r="B21" s="32" t="n">
        <f aca="false">AVERAGEIFS(Dati_Case!$E$2:$E$1061,Dati_Case!$A$2:$A$1061,$A21,Dati_Case!$D$2:$D$1061,"Nord")</f>
        <v>1433.93617021277</v>
      </c>
      <c r="C21" s="32" t="n">
        <f aca="false">AVERAGEIFS(Dati_Case!$E$2:$E$1061,Dati_Case!$A$2:$A$1061,$A21,Dati_Case!$D$2:$D$1061,"Centro")</f>
        <v>1466.68181818182</v>
      </c>
      <c r="D21" s="32" t="n">
        <f aca="false">AVERAGEIFS(Dati_Case!$E$2:$E$1061,Dati_Case!$A$2:$A$1061,$A21,Dati_Case!$D$2:$D$1061,"Sud")</f>
        <v>885.416666666667</v>
      </c>
      <c r="E21" s="32" t="n">
        <f aca="false">AVERAGEIFS(Dati_Case!$E$2:$E$1061,Dati_Case!$A$2:$A$1061,$A21,Dati_Case!$D$2:$D$1061,"Isole")</f>
        <v>926.615384615385</v>
      </c>
    </row>
    <row r="22" customFormat="false" ht="15" hidden="false" customHeight="false" outlineLevel="0" collapsed="false">
      <c r="A22" s="0" t="n">
        <v>2021</v>
      </c>
      <c r="B22" s="32" t="n">
        <f aca="false">AVERAGEIFS(Dati_Case!$E$2:$E$1061,Dati_Case!$A$2:$A$1061,$A22,Dati_Case!$D$2:$D$1061,"Nord")</f>
        <v>1423.31914893617</v>
      </c>
      <c r="C22" s="32" t="n">
        <f aca="false">AVERAGEIFS(Dati_Case!$E$2:$E$1061,Dati_Case!$A$2:$A$1061,$A22,Dati_Case!$D$2:$D$1061,"Centro")</f>
        <v>1440.36363636364</v>
      </c>
      <c r="D22" s="32" t="n">
        <f aca="false">AVERAGEIFS(Dati_Case!$E$2:$E$1061,Dati_Case!$A$2:$A$1061,$A22,Dati_Case!$D$2:$D$1061,"Sud")</f>
        <v>874.041666666667</v>
      </c>
      <c r="E22" s="32" t="n">
        <f aca="false">AVERAGEIFS(Dati_Case!$E$2:$E$1061,Dati_Case!$A$2:$A$1061,$A22,Dati_Case!$D$2:$D$1061,"Isole")</f>
        <v>907.923076923077</v>
      </c>
    </row>
    <row r="23" customFormat="false" ht="15" hidden="false" customHeight="false" outlineLevel="0" collapsed="false">
      <c r="A23" s="0" t="n">
        <v>2022</v>
      </c>
      <c r="B23" s="32" t="n">
        <f aca="false">AVERAGEIFS(Dati_Case!$E$2:$E$1061,Dati_Case!$A$2:$A$1061,$A23,Dati_Case!$D$2:$D$1061,"Nord")</f>
        <v>1434.1914893617</v>
      </c>
      <c r="C23" s="32" t="n">
        <f aca="false">AVERAGEIFS(Dati_Case!$E$2:$E$1061,Dati_Case!$A$2:$A$1061,$A23,Dati_Case!$D$2:$D$1061,"Centro")</f>
        <v>1431.68181818182</v>
      </c>
      <c r="D23" s="32" t="n">
        <f aca="false">AVERAGEIFS(Dati_Case!$E$2:$E$1061,Dati_Case!$A$2:$A$1061,$A23,Dati_Case!$D$2:$D$1061,"Sud")</f>
        <v>872.458333333333</v>
      </c>
      <c r="E23" s="32" t="n">
        <f aca="false">AVERAGEIFS(Dati_Case!$E$2:$E$1061,Dati_Case!$A$2:$A$1061,$A23,Dati_Case!$D$2:$D$1061,"Isole")</f>
        <v>902.384615384615</v>
      </c>
    </row>
    <row r="24" customFormat="false" ht="15" hidden="false" customHeight="false" outlineLevel="0" collapsed="false">
      <c r="A24" s="0" t="n">
        <v>2023</v>
      </c>
      <c r="B24" s="32" t="n">
        <f aca="false">AVERAGEIFS(Dati_Case!$E$2:$E$1061,Dati_Case!$A$2:$A$1061,$A24,Dati_Case!$D$2:$D$1061,"Nord")</f>
        <v>1449.85106382979</v>
      </c>
      <c r="C24" s="32" t="n">
        <f aca="false">AVERAGEIFS(Dati_Case!$E$2:$E$1061,Dati_Case!$A$2:$A$1061,$A24,Dati_Case!$D$2:$D$1061,"Centro")</f>
        <v>1434.59090909091</v>
      </c>
      <c r="D24" s="32" t="n">
        <f aca="false">AVERAGEIFS(Dati_Case!$E$2:$E$1061,Dati_Case!$A$2:$A$1061,$A24,Dati_Case!$D$2:$D$1061,"Sud")</f>
        <v>876.875</v>
      </c>
      <c r="E24" s="32" t="n">
        <f aca="false">AVERAGEIFS(Dati_Case!$E$2:$E$1061,Dati_Case!$A$2:$A$1061,$A24,Dati_Case!$D$2:$D$1061,"Isole")</f>
        <v>904.923076923077</v>
      </c>
    </row>
    <row r="25" customFormat="false" ht="15" hidden="false" customHeight="false" outlineLevel="0" collapsed="false">
      <c r="A25" s="0" t="n">
        <v>2024</v>
      </c>
      <c r="B25" s="32" t="n">
        <f aca="false">AVERAGEIFS(Dati_Case!$E$2:$E$1061,Dati_Case!$A$2:$A$1061,$A25,Dati_Case!$D$2:$D$1061,"Nord")</f>
        <v>1467.3829787234</v>
      </c>
      <c r="C25" s="32" t="n">
        <f aca="false">AVERAGEIFS(Dati_Case!$E$2:$E$1061,Dati_Case!$A$2:$A$1061,$A25,Dati_Case!$D$2:$D$1061,"Centro")</f>
        <v>1436.04545454545</v>
      </c>
      <c r="D25" s="32" t="n">
        <f aca="false">AVERAGEIFS(Dati_Case!$E$2:$E$1061,Dati_Case!$A$2:$A$1061,$A25,Dati_Case!$D$2:$D$1061,"Sud")</f>
        <v>884.625</v>
      </c>
      <c r="E25" s="32" t="n">
        <f aca="false">AVERAGEIFS(Dati_Case!$E$2:$E$1061,Dati_Case!$A$2:$A$1061,$A25,Dati_Case!$D$2:$D$1061,"Isole")</f>
        <v>908.923076923077</v>
      </c>
    </row>
    <row r="26" customFormat="false" ht="15" hidden="false" customHeight="false" outlineLevel="0" collapsed="false">
      <c r="A26" s="0" t="n">
        <v>2025</v>
      </c>
      <c r="B26" s="32" t="n">
        <f aca="false">AVERAGEIFS(Dati_Case!$E$2:$E$1061,Dati_Case!$A$2:$A$1061,$A26,Dati_Case!$D$2:$D$1061,"Nord")</f>
        <v>1496.29787234043</v>
      </c>
      <c r="C26" s="32" t="n">
        <f aca="false">AVERAGEIFS(Dati_Case!$E$2:$E$1061,Dati_Case!$A$2:$A$1061,$A26,Dati_Case!$D$2:$D$1061,"Centro")</f>
        <v>1442.86363636364</v>
      </c>
      <c r="D26" s="32" t="n">
        <f aca="false">AVERAGEIFS(Dati_Case!$E$2:$E$1061,Dati_Case!$A$2:$A$1061,$A26,Dati_Case!$D$2:$D$1061,"Sud")</f>
        <v>890.375</v>
      </c>
      <c r="E26" s="32" t="n">
        <f aca="false">AVERAGEIFS(Dati_Case!$E$2:$E$1061,Dati_Case!$A$2:$A$1061,$A26,Dati_Case!$D$2:$D$1061,"Isole")</f>
        <v>921.230769230769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5"/>
  </cols>
  <sheetData>
    <row r="1" customFormat="false" ht="26.85" hidden="false" customHeight="false" outlineLevel="0" collapsed="false">
      <c r="A1" s="5" t="s">
        <v>341</v>
      </c>
      <c r="B1" s="5" t="s">
        <v>342</v>
      </c>
      <c r="C1" s="5" t="s">
        <v>343</v>
      </c>
      <c r="D1" s="5" t="s">
        <v>344</v>
      </c>
      <c r="E1" s="5" t="s">
        <v>345</v>
      </c>
      <c r="F1" s="5" t="s">
        <v>346</v>
      </c>
      <c r="G1" s="5" t="s">
        <v>347</v>
      </c>
      <c r="H1" s="5" t="s">
        <v>348</v>
      </c>
    </row>
    <row r="2" customFormat="false" ht="15" hidden="false" customHeight="false" outlineLevel="0" collapsed="false">
      <c r="A2" s="0" t="n">
        <v>2016</v>
      </c>
      <c r="B2" s="0" t="s">
        <v>90</v>
      </c>
      <c r="C2" s="0" t="s">
        <v>91</v>
      </c>
      <c r="D2" s="0" t="s">
        <v>75</v>
      </c>
      <c r="E2" s="0" t="n">
        <v>252923</v>
      </c>
      <c r="F2" s="0" t="n">
        <v>14386</v>
      </c>
      <c r="G2" s="0" t="n">
        <v>15623</v>
      </c>
      <c r="H2" s="0" t="n">
        <v>12534</v>
      </c>
    </row>
    <row r="3" customFormat="false" ht="15" hidden="false" customHeight="false" outlineLevel="0" collapsed="false">
      <c r="A3" s="0" t="n">
        <v>2016</v>
      </c>
      <c r="B3" s="0" t="s">
        <v>93</v>
      </c>
      <c r="C3" s="0" t="s">
        <v>94</v>
      </c>
      <c r="D3" s="0" t="s">
        <v>72</v>
      </c>
      <c r="E3" s="0" t="n">
        <v>310619</v>
      </c>
      <c r="F3" s="0" t="n">
        <v>21243</v>
      </c>
      <c r="G3" s="0" t="n">
        <v>21358</v>
      </c>
      <c r="H3" s="0" t="n">
        <v>17126</v>
      </c>
    </row>
    <row r="4" customFormat="false" ht="15" hidden="false" customHeight="false" outlineLevel="0" collapsed="false">
      <c r="A4" s="0" t="n">
        <v>2016</v>
      </c>
      <c r="B4" s="0" t="s">
        <v>96</v>
      </c>
      <c r="C4" s="0" t="s">
        <v>97</v>
      </c>
      <c r="D4" s="0" t="s">
        <v>73</v>
      </c>
      <c r="E4" s="0" t="n">
        <v>344679</v>
      </c>
      <c r="F4" s="0" t="n">
        <v>21104</v>
      </c>
      <c r="G4" s="0" t="n">
        <v>20308</v>
      </c>
      <c r="H4" s="0" t="n">
        <v>17386</v>
      </c>
    </row>
    <row r="5" customFormat="false" ht="15" hidden="false" customHeight="false" outlineLevel="0" collapsed="false">
      <c r="A5" s="0" t="n">
        <v>2016</v>
      </c>
      <c r="B5" s="0" t="s">
        <v>99</v>
      </c>
      <c r="C5" s="0" t="s">
        <v>100</v>
      </c>
      <c r="D5" s="0" t="s">
        <v>72</v>
      </c>
      <c r="E5" s="0" t="n">
        <v>96833</v>
      </c>
      <c r="F5" s="0" t="n">
        <v>22285</v>
      </c>
      <c r="G5" s="0" t="n">
        <v>20531</v>
      </c>
      <c r="H5" s="0" t="n">
        <v>17462</v>
      </c>
    </row>
    <row r="6" customFormat="false" ht="15" hidden="false" customHeight="false" outlineLevel="0" collapsed="false">
      <c r="A6" s="0" t="n">
        <v>2016</v>
      </c>
      <c r="B6" s="0" t="s">
        <v>105</v>
      </c>
      <c r="C6" s="0" t="s">
        <v>106</v>
      </c>
      <c r="D6" s="0" t="s">
        <v>73</v>
      </c>
      <c r="E6" s="0" t="n">
        <v>149359</v>
      </c>
      <c r="F6" s="0" t="n">
        <v>18497</v>
      </c>
      <c r="G6" s="0" t="n">
        <v>18249</v>
      </c>
      <c r="H6" s="0" t="n">
        <v>15582</v>
      </c>
    </row>
    <row r="7" customFormat="false" ht="15" hidden="false" customHeight="false" outlineLevel="0" collapsed="false">
      <c r="A7" s="0" t="n">
        <v>2016</v>
      </c>
      <c r="B7" s="0" t="s">
        <v>192</v>
      </c>
      <c r="C7" s="0" t="s">
        <v>193</v>
      </c>
      <c r="D7" s="0" t="s">
        <v>74</v>
      </c>
      <c r="E7" s="0" t="n">
        <v>209304</v>
      </c>
      <c r="F7" s="0" t="n">
        <v>18553</v>
      </c>
      <c r="G7" s="0" t="n">
        <v>18786</v>
      </c>
      <c r="H7" s="0" t="n">
        <v>16078</v>
      </c>
    </row>
    <row r="8" customFormat="false" ht="15" hidden="false" customHeight="false" outlineLevel="0" collapsed="false">
      <c r="A8" s="0" t="n">
        <v>2016</v>
      </c>
      <c r="B8" s="0" t="s">
        <v>102</v>
      </c>
      <c r="C8" s="0" t="s">
        <v>103</v>
      </c>
      <c r="D8" s="0" t="s">
        <v>73</v>
      </c>
      <c r="E8" s="0" t="n">
        <v>252116</v>
      </c>
      <c r="F8" s="0" t="n">
        <v>20354</v>
      </c>
      <c r="G8" s="0" t="n">
        <v>19360</v>
      </c>
      <c r="H8" s="0" t="n">
        <v>16577</v>
      </c>
    </row>
    <row r="9" customFormat="false" ht="15" hidden="false" customHeight="false" outlineLevel="0" collapsed="false">
      <c r="A9" s="0" t="n">
        <v>2016</v>
      </c>
      <c r="B9" s="0" t="s">
        <v>107</v>
      </c>
      <c r="C9" s="0" t="s">
        <v>108</v>
      </c>
      <c r="D9" s="0" t="s">
        <v>72</v>
      </c>
      <c r="E9" s="0" t="n">
        <v>157366</v>
      </c>
      <c r="F9" s="0" t="n">
        <v>20415</v>
      </c>
      <c r="G9" s="0" t="n">
        <v>20278</v>
      </c>
      <c r="H9" s="0" t="n">
        <v>16474</v>
      </c>
    </row>
    <row r="10" customFormat="false" ht="15" hidden="false" customHeight="false" outlineLevel="0" collapsed="false">
      <c r="A10" s="0" t="n">
        <v>2016</v>
      </c>
      <c r="B10" s="0" t="s">
        <v>109</v>
      </c>
      <c r="C10" s="0" t="s">
        <v>110</v>
      </c>
      <c r="D10" s="0" t="s">
        <v>74</v>
      </c>
      <c r="E10" s="0" t="n">
        <v>264376</v>
      </c>
      <c r="F10" s="0" t="n">
        <v>16030</v>
      </c>
      <c r="G10" s="0" t="n">
        <v>17173</v>
      </c>
      <c r="H10" s="0" t="n">
        <v>13574</v>
      </c>
    </row>
    <row r="11" customFormat="false" ht="15" hidden="false" customHeight="false" outlineLevel="0" collapsed="false">
      <c r="A11" s="0" t="n">
        <v>2016</v>
      </c>
      <c r="B11" s="0" t="s">
        <v>112</v>
      </c>
      <c r="C11" s="0" t="s">
        <v>113</v>
      </c>
      <c r="D11" s="0" t="s">
        <v>74</v>
      </c>
      <c r="E11" s="0" t="n">
        <v>798662</v>
      </c>
      <c r="F11" s="0" t="n">
        <v>17752</v>
      </c>
      <c r="G11" s="0" t="n">
        <v>17551</v>
      </c>
      <c r="H11" s="0" t="n">
        <v>16407</v>
      </c>
    </row>
    <row r="12" customFormat="false" ht="15" hidden="false" customHeight="false" outlineLevel="0" collapsed="false">
      <c r="A12" s="0" t="n">
        <v>2016</v>
      </c>
      <c r="B12" s="0" t="s">
        <v>122</v>
      </c>
      <c r="C12" s="0" t="s">
        <v>123</v>
      </c>
      <c r="D12" s="0" t="s">
        <v>72</v>
      </c>
      <c r="E12" s="0" t="n">
        <v>773580</v>
      </c>
      <c r="F12" s="0" t="n">
        <v>22942</v>
      </c>
      <c r="G12" s="0" t="n">
        <v>22909</v>
      </c>
      <c r="H12" s="0" t="n">
        <v>17255</v>
      </c>
    </row>
    <row r="13" customFormat="false" ht="15" hidden="false" customHeight="false" outlineLevel="0" collapsed="false">
      <c r="A13" s="0" t="n">
        <v>2016</v>
      </c>
      <c r="B13" s="0" t="s">
        <v>125</v>
      </c>
      <c r="C13" s="0" t="s">
        <v>126</v>
      </c>
      <c r="D13" s="0" t="s">
        <v>72</v>
      </c>
      <c r="E13" s="0" t="n">
        <v>135459</v>
      </c>
      <c r="F13" s="0" t="n">
        <v>21524</v>
      </c>
      <c r="G13" s="0" t="n">
        <v>21860</v>
      </c>
      <c r="H13" s="0" t="n">
        <v>17199</v>
      </c>
    </row>
    <row r="14" customFormat="false" ht="15" hidden="false" customHeight="false" outlineLevel="0" collapsed="false">
      <c r="A14" s="0" t="n">
        <v>2016</v>
      </c>
      <c r="B14" s="0" t="s">
        <v>117</v>
      </c>
      <c r="C14" s="0" t="s">
        <v>118</v>
      </c>
      <c r="D14" s="0" t="s">
        <v>72</v>
      </c>
      <c r="E14" s="0" t="n">
        <v>160846</v>
      </c>
      <c r="F14" s="0" t="n">
        <v>21132</v>
      </c>
      <c r="G14" s="0" t="n">
        <v>20751</v>
      </c>
      <c r="H14" s="0" t="n">
        <v>15978</v>
      </c>
    </row>
    <row r="15" customFormat="false" ht="15" hidden="false" customHeight="false" outlineLevel="0" collapsed="false">
      <c r="A15" s="0" t="n">
        <v>2016</v>
      </c>
      <c r="B15" s="0" t="s">
        <v>120</v>
      </c>
      <c r="C15" s="0" t="s">
        <v>121</v>
      </c>
      <c r="D15" s="0" t="s">
        <v>74</v>
      </c>
      <c r="E15" s="0" t="n">
        <v>178161</v>
      </c>
      <c r="F15" s="0" t="n">
        <v>15452</v>
      </c>
      <c r="G15" s="0" t="n">
        <v>16776</v>
      </c>
      <c r="H15" s="0" t="n">
        <v>13353</v>
      </c>
    </row>
    <row r="16" customFormat="false" ht="15" hidden="false" customHeight="false" outlineLevel="0" collapsed="false">
      <c r="A16" s="0" t="n">
        <v>2016</v>
      </c>
      <c r="B16" s="0" t="s">
        <v>127</v>
      </c>
      <c r="C16" s="0" t="s">
        <v>128</v>
      </c>
      <c r="D16" s="0" t="s">
        <v>72</v>
      </c>
      <c r="E16" s="0" t="n">
        <v>765494</v>
      </c>
      <c r="F16" s="0" t="n">
        <v>25526</v>
      </c>
      <c r="G16" s="0" t="n">
        <v>24023</v>
      </c>
      <c r="H16" s="0" t="n">
        <v>19699</v>
      </c>
    </row>
    <row r="17" customFormat="false" ht="15" hidden="false" customHeight="false" outlineLevel="0" collapsed="false">
      <c r="A17" s="0" t="n">
        <v>2016</v>
      </c>
      <c r="B17" s="0" t="s">
        <v>135</v>
      </c>
      <c r="C17" s="0" t="s">
        <v>136</v>
      </c>
      <c r="D17" s="0" t="s">
        <v>74</v>
      </c>
      <c r="E17" s="0" t="n">
        <v>256625</v>
      </c>
      <c r="F17" s="0" t="n">
        <v>15929</v>
      </c>
      <c r="G17" s="0" t="n">
        <v>15696</v>
      </c>
      <c r="H17" s="0" t="n">
        <v>14974</v>
      </c>
    </row>
    <row r="18" customFormat="false" ht="15" hidden="false" customHeight="false" outlineLevel="0" collapsed="false">
      <c r="A18" s="0" t="n">
        <v>2016</v>
      </c>
      <c r="B18" s="0" t="s">
        <v>133</v>
      </c>
      <c r="C18" s="0" t="s">
        <v>134</v>
      </c>
      <c r="D18" s="0" t="s">
        <v>72</v>
      </c>
      <c r="E18" s="0" t="n">
        <v>874081</v>
      </c>
      <c r="F18" s="0" t="n">
        <v>22027</v>
      </c>
      <c r="G18" s="0" t="n">
        <v>21879</v>
      </c>
      <c r="H18" s="0" t="n">
        <v>16481</v>
      </c>
    </row>
    <row r="19" customFormat="false" ht="15" hidden="false" customHeight="false" outlineLevel="0" collapsed="false">
      <c r="A19" s="0" t="n">
        <v>2016</v>
      </c>
      <c r="B19" s="0" t="s">
        <v>115</v>
      </c>
      <c r="C19" s="0" t="s">
        <v>116</v>
      </c>
      <c r="D19" s="0" t="s">
        <v>74</v>
      </c>
      <c r="E19" s="0" t="n">
        <v>230501</v>
      </c>
      <c r="F19" s="0" t="n">
        <v>14930</v>
      </c>
      <c r="G19" s="0" t="n">
        <v>14717</v>
      </c>
      <c r="H19" s="0" t="n">
        <v>14175</v>
      </c>
    </row>
    <row r="20" customFormat="false" ht="15" hidden="false" customHeight="false" outlineLevel="0" collapsed="false">
      <c r="A20" s="0" t="n">
        <v>2016</v>
      </c>
      <c r="B20" s="0" t="s">
        <v>130</v>
      </c>
      <c r="C20" s="0" t="s">
        <v>131</v>
      </c>
      <c r="D20" s="0" t="s">
        <v>72</v>
      </c>
      <c r="E20" s="0" t="n">
        <v>423743</v>
      </c>
      <c r="F20" s="0" t="n">
        <v>23505</v>
      </c>
      <c r="G20" s="0" t="n">
        <v>20980</v>
      </c>
      <c r="H20" s="0" t="n">
        <v>17187</v>
      </c>
    </row>
    <row r="21" customFormat="false" ht="15" hidden="false" customHeight="false" outlineLevel="0" collapsed="false">
      <c r="A21" s="0" t="n">
        <v>2016</v>
      </c>
      <c r="B21" s="0" t="s">
        <v>137</v>
      </c>
      <c r="C21" s="0" t="s">
        <v>138</v>
      </c>
      <c r="D21" s="0" t="s">
        <v>75</v>
      </c>
      <c r="E21" s="0" t="n">
        <v>351045</v>
      </c>
      <c r="F21" s="0" t="n">
        <v>19936</v>
      </c>
      <c r="G21" s="0" t="n">
        <v>19370</v>
      </c>
      <c r="H21" s="0" t="n">
        <v>18075</v>
      </c>
    </row>
    <row r="22" customFormat="false" ht="15" hidden="false" customHeight="false" outlineLevel="0" collapsed="false">
      <c r="A22" s="0" t="n">
        <v>2016</v>
      </c>
      <c r="B22" s="0" t="s">
        <v>142</v>
      </c>
      <c r="C22" s="0" t="s">
        <v>143</v>
      </c>
      <c r="D22" s="0" t="s">
        <v>74</v>
      </c>
      <c r="E22" s="0" t="n">
        <v>151687</v>
      </c>
      <c r="F22" s="0" t="n">
        <v>16072</v>
      </c>
      <c r="G22" s="0" t="n">
        <v>17666</v>
      </c>
      <c r="H22" s="0" t="n">
        <v>13565</v>
      </c>
    </row>
    <row r="23" customFormat="false" ht="15" hidden="false" customHeight="false" outlineLevel="0" collapsed="false">
      <c r="A23" s="0" t="n">
        <v>2016</v>
      </c>
      <c r="B23" s="0" t="s">
        <v>145</v>
      </c>
      <c r="C23" s="0" t="s">
        <v>146</v>
      </c>
      <c r="D23" s="0" t="s">
        <v>74</v>
      </c>
      <c r="E23" s="0" t="n">
        <v>497133</v>
      </c>
      <c r="F23" s="0" t="n">
        <v>16371</v>
      </c>
      <c r="G23" s="0" t="n">
        <v>16407</v>
      </c>
      <c r="H23" s="0" t="n">
        <v>15122</v>
      </c>
    </row>
    <row r="24" customFormat="false" ht="15" hidden="false" customHeight="false" outlineLevel="0" collapsed="false">
      <c r="A24" s="0" t="n">
        <v>2016</v>
      </c>
      <c r="B24" s="0" t="s">
        <v>152</v>
      </c>
      <c r="C24" s="0" t="s">
        <v>153</v>
      </c>
      <c r="D24" s="0" t="s">
        <v>74</v>
      </c>
      <c r="E24" s="0" t="n">
        <v>266961</v>
      </c>
      <c r="F24" s="0" t="n">
        <v>17439</v>
      </c>
      <c r="G24" s="0" t="n">
        <v>18884</v>
      </c>
      <c r="H24" s="0" t="n">
        <v>14207</v>
      </c>
    </row>
    <row r="25" customFormat="false" ht="15" hidden="false" customHeight="false" outlineLevel="0" collapsed="false">
      <c r="A25" s="0" t="n">
        <v>2016</v>
      </c>
      <c r="B25" s="0" t="s">
        <v>140</v>
      </c>
      <c r="C25" s="0" t="s">
        <v>141</v>
      </c>
      <c r="D25" s="0" t="s">
        <v>75</v>
      </c>
      <c r="E25" s="0" t="n">
        <v>153659</v>
      </c>
      <c r="F25" s="0" t="n">
        <v>15019</v>
      </c>
      <c r="G25" s="0" t="n">
        <v>16360</v>
      </c>
      <c r="H25" s="0" t="n">
        <v>13715</v>
      </c>
    </row>
    <row r="26" customFormat="false" ht="15" hidden="false" customHeight="false" outlineLevel="0" collapsed="false">
      <c r="A26" s="0" t="n">
        <v>2016</v>
      </c>
      <c r="B26" s="0" t="s">
        <v>163</v>
      </c>
      <c r="C26" s="0" t="s">
        <v>164</v>
      </c>
      <c r="D26" s="0" t="s">
        <v>72</v>
      </c>
      <c r="E26" s="0" t="n">
        <v>436585</v>
      </c>
      <c r="F26" s="0" t="n">
        <v>21011</v>
      </c>
      <c r="G26" s="0" t="n">
        <v>20635</v>
      </c>
      <c r="H26" s="0" t="n">
        <v>16268</v>
      </c>
    </row>
    <row r="27" customFormat="false" ht="15" hidden="false" customHeight="false" outlineLevel="0" collapsed="false">
      <c r="A27" s="0" t="n">
        <v>2016</v>
      </c>
      <c r="B27" s="0" t="s">
        <v>155</v>
      </c>
      <c r="C27" s="0" t="s">
        <v>156</v>
      </c>
      <c r="D27" s="0" t="s">
        <v>72</v>
      </c>
      <c r="E27" s="0" t="n">
        <v>419975</v>
      </c>
      <c r="F27" s="0" t="n">
        <v>23146</v>
      </c>
      <c r="G27" s="0" t="n">
        <v>23423</v>
      </c>
      <c r="H27" s="0" t="n">
        <v>17274</v>
      </c>
    </row>
    <row r="28" customFormat="false" ht="15" hidden="false" customHeight="false" outlineLevel="0" collapsed="false">
      <c r="A28" s="0" t="n">
        <v>2016</v>
      </c>
      <c r="B28" s="0" t="s">
        <v>159</v>
      </c>
      <c r="C28" s="0" t="s">
        <v>160</v>
      </c>
      <c r="D28" s="0" t="s">
        <v>72</v>
      </c>
      <c r="E28" s="0" t="n">
        <v>259624</v>
      </c>
      <c r="F28" s="0" t="n">
        <v>22481</v>
      </c>
      <c r="G28" s="0" t="n">
        <v>22453</v>
      </c>
      <c r="H28" s="0" t="n">
        <v>17259</v>
      </c>
    </row>
    <row r="29" customFormat="false" ht="15" hidden="false" customHeight="false" outlineLevel="0" collapsed="false">
      <c r="A29" s="0" t="n">
        <v>2016</v>
      </c>
      <c r="B29" s="0" t="s">
        <v>157</v>
      </c>
      <c r="C29" s="0" t="s">
        <v>158</v>
      </c>
      <c r="D29" s="0" t="s">
        <v>74</v>
      </c>
      <c r="E29" s="0" t="n">
        <v>437627</v>
      </c>
      <c r="F29" s="0" t="n">
        <v>14693</v>
      </c>
      <c r="G29" s="0" t="n">
        <v>14586</v>
      </c>
      <c r="H29" s="0" t="n">
        <v>13832</v>
      </c>
    </row>
    <row r="30" customFormat="false" ht="15" hidden="false" customHeight="false" outlineLevel="0" collapsed="false">
      <c r="A30" s="0" t="n">
        <v>2016</v>
      </c>
      <c r="B30" s="0" t="s">
        <v>147</v>
      </c>
      <c r="C30" s="0" t="s">
        <v>148</v>
      </c>
      <c r="D30" s="0" t="s">
        <v>75</v>
      </c>
      <c r="E30" s="0" t="n">
        <v>602974</v>
      </c>
      <c r="F30" s="0" t="n">
        <v>16968</v>
      </c>
      <c r="G30" s="0" t="n">
        <v>17031</v>
      </c>
      <c r="H30" s="0" t="n">
        <v>15458</v>
      </c>
    </row>
    <row r="31" customFormat="false" ht="15" hidden="false" customHeight="false" outlineLevel="0" collapsed="false">
      <c r="A31" s="0" t="n">
        <v>2016</v>
      </c>
      <c r="B31" s="0" t="s">
        <v>149</v>
      </c>
      <c r="C31" s="0" t="s">
        <v>150</v>
      </c>
      <c r="D31" s="0" t="s">
        <v>74</v>
      </c>
      <c r="E31" s="0" t="n">
        <v>217532</v>
      </c>
      <c r="F31" s="0" t="n">
        <v>16035</v>
      </c>
      <c r="G31" s="0" t="n">
        <v>16321</v>
      </c>
      <c r="H31" s="0" t="n">
        <v>14408</v>
      </c>
    </row>
    <row r="32" customFormat="false" ht="15" hidden="false" customHeight="false" outlineLevel="0" collapsed="false">
      <c r="A32" s="0" t="n">
        <v>2016</v>
      </c>
      <c r="B32" s="0" t="s">
        <v>165</v>
      </c>
      <c r="C32" s="0" t="s">
        <v>166</v>
      </c>
      <c r="D32" s="0" t="s">
        <v>75</v>
      </c>
      <c r="E32" s="0" t="n">
        <v>100918</v>
      </c>
      <c r="F32" s="0" t="n">
        <v>14418</v>
      </c>
      <c r="G32" s="0" t="n">
        <v>15984</v>
      </c>
      <c r="H32" s="0" t="n">
        <v>12618</v>
      </c>
    </row>
    <row r="33" customFormat="false" ht="15" hidden="false" customHeight="false" outlineLevel="0" collapsed="false">
      <c r="A33" s="0" t="n">
        <v>2016</v>
      </c>
      <c r="B33" s="0" t="s">
        <v>175</v>
      </c>
      <c r="C33" s="0" t="s">
        <v>176</v>
      </c>
      <c r="D33" s="0" t="s">
        <v>72</v>
      </c>
      <c r="E33" s="0" t="n">
        <v>300965</v>
      </c>
      <c r="F33" s="0" t="n">
        <v>20806</v>
      </c>
      <c r="G33" s="0" t="n">
        <v>19823</v>
      </c>
      <c r="H33" s="0" t="n">
        <v>16185</v>
      </c>
    </row>
    <row r="34" customFormat="false" ht="15" hidden="false" customHeight="false" outlineLevel="0" collapsed="false">
      <c r="A34" s="0" t="n">
        <v>2016</v>
      </c>
      <c r="B34" s="0" t="s">
        <v>169</v>
      </c>
      <c r="C34" s="0" t="s">
        <v>170</v>
      </c>
      <c r="D34" s="0" t="s">
        <v>72</v>
      </c>
      <c r="E34" s="0" t="n">
        <v>272939</v>
      </c>
      <c r="F34" s="0" t="n">
        <v>20788</v>
      </c>
      <c r="G34" s="0" t="n">
        <v>20189</v>
      </c>
      <c r="H34" s="0" t="n">
        <v>16955</v>
      </c>
    </row>
    <row r="35" customFormat="false" ht="15" hidden="false" customHeight="false" outlineLevel="0" collapsed="false">
      <c r="A35" s="0" t="n">
        <v>2016</v>
      </c>
      <c r="B35" s="0" t="s">
        <v>173</v>
      </c>
      <c r="C35" s="0" t="s">
        <v>174</v>
      </c>
      <c r="D35" s="0" t="s">
        <v>74</v>
      </c>
      <c r="E35" s="0" t="n">
        <v>389137</v>
      </c>
      <c r="F35" s="0" t="n">
        <v>14936</v>
      </c>
      <c r="G35" s="0" t="n">
        <v>14709</v>
      </c>
      <c r="H35" s="0" t="n">
        <v>14301</v>
      </c>
    </row>
    <row r="36" customFormat="false" ht="15" hidden="false" customHeight="false" outlineLevel="0" collapsed="false">
      <c r="A36" s="0" t="n">
        <v>2016</v>
      </c>
      <c r="B36" s="0" t="s">
        <v>171</v>
      </c>
      <c r="C36" s="0" t="s">
        <v>172</v>
      </c>
      <c r="D36" s="0" t="s">
        <v>73</v>
      </c>
      <c r="E36" s="0" t="n">
        <v>738647</v>
      </c>
      <c r="F36" s="0" t="n">
        <v>23660</v>
      </c>
      <c r="G36" s="0" t="n">
        <v>21798</v>
      </c>
      <c r="H36" s="0" t="n">
        <v>18603</v>
      </c>
    </row>
    <row r="37" customFormat="false" ht="15" hidden="false" customHeight="false" outlineLevel="0" collapsed="false">
      <c r="A37" s="0" t="n">
        <v>2016</v>
      </c>
      <c r="B37" s="0" t="s">
        <v>167</v>
      </c>
      <c r="C37" s="0" t="s">
        <v>168</v>
      </c>
      <c r="D37" s="0" t="s">
        <v>73</v>
      </c>
      <c r="E37" s="0" t="n">
        <v>124171</v>
      </c>
      <c r="F37" s="0" t="n">
        <v>18326</v>
      </c>
      <c r="G37" s="0" t="n">
        <v>17661</v>
      </c>
      <c r="H37" s="0" t="n">
        <v>13725</v>
      </c>
    </row>
    <row r="38" customFormat="false" ht="15" hidden="false" customHeight="false" outlineLevel="0" collapsed="false">
      <c r="A38" s="0" t="n">
        <v>2016</v>
      </c>
      <c r="B38" s="0" t="s">
        <v>177</v>
      </c>
      <c r="C38" s="0" t="s">
        <v>178</v>
      </c>
      <c r="D38" s="0" t="s">
        <v>73</v>
      </c>
      <c r="E38" s="0" t="n">
        <v>312452</v>
      </c>
      <c r="F38" s="0" t="n">
        <v>17436</v>
      </c>
      <c r="G38" s="0" t="n">
        <v>18316</v>
      </c>
      <c r="H38" s="0" t="n">
        <v>15066</v>
      </c>
    </row>
    <row r="39" customFormat="false" ht="15" hidden="false" customHeight="false" outlineLevel="0" collapsed="false">
      <c r="A39" s="0" t="n">
        <v>2016</v>
      </c>
      <c r="B39" s="0" t="s">
        <v>180</v>
      </c>
      <c r="C39" s="0" t="s">
        <v>181</v>
      </c>
      <c r="D39" s="0" t="s">
        <v>72</v>
      </c>
      <c r="E39" s="0" t="n">
        <v>654750</v>
      </c>
      <c r="F39" s="0" t="n">
        <v>23607</v>
      </c>
      <c r="G39" s="0" t="n">
        <v>22052</v>
      </c>
      <c r="H39" s="0" t="n">
        <v>19679</v>
      </c>
    </row>
    <row r="40" customFormat="false" ht="15" hidden="false" customHeight="false" outlineLevel="0" collapsed="false">
      <c r="A40" s="0" t="n">
        <v>2016</v>
      </c>
      <c r="B40" s="0" t="s">
        <v>183</v>
      </c>
      <c r="C40" s="0" t="s">
        <v>184</v>
      </c>
      <c r="D40" s="0" t="s">
        <v>72</v>
      </c>
      <c r="E40" s="0" t="n">
        <v>108363</v>
      </c>
      <c r="F40" s="0" t="n">
        <v>20905</v>
      </c>
      <c r="G40" s="0" t="n">
        <v>20456</v>
      </c>
      <c r="H40" s="0" t="n">
        <v>17939</v>
      </c>
    </row>
    <row r="41" customFormat="false" ht="15" hidden="false" customHeight="false" outlineLevel="0" collapsed="false">
      <c r="A41" s="0" t="n">
        <v>2016</v>
      </c>
      <c r="B41" s="0" t="s">
        <v>186</v>
      </c>
      <c r="C41" s="0" t="s">
        <v>187</v>
      </c>
      <c r="D41" s="0" t="s">
        <v>73</v>
      </c>
      <c r="E41" s="0" t="n">
        <v>163957</v>
      </c>
      <c r="F41" s="0" t="n">
        <v>19197</v>
      </c>
      <c r="G41" s="0" t="n">
        <v>18125</v>
      </c>
      <c r="H41" s="0" t="n">
        <v>16915</v>
      </c>
    </row>
    <row r="42" customFormat="false" ht="15" hidden="false" customHeight="false" outlineLevel="0" collapsed="false">
      <c r="A42" s="0" t="n">
        <v>2016</v>
      </c>
      <c r="B42" s="0" t="s">
        <v>188</v>
      </c>
      <c r="C42" s="0" t="s">
        <v>189</v>
      </c>
      <c r="D42" s="0" t="s">
        <v>72</v>
      </c>
      <c r="E42" s="0" t="n">
        <v>152236</v>
      </c>
      <c r="F42" s="0" t="n">
        <v>19046</v>
      </c>
      <c r="G42" s="0" t="n">
        <v>17542</v>
      </c>
      <c r="H42" s="0" t="n">
        <v>15629</v>
      </c>
    </row>
    <row r="43" customFormat="false" ht="15" hidden="false" customHeight="false" outlineLevel="0" collapsed="false">
      <c r="A43" s="0" t="n">
        <v>2016</v>
      </c>
      <c r="B43" s="0" t="s">
        <v>190</v>
      </c>
      <c r="C43" s="0" t="s">
        <v>191</v>
      </c>
      <c r="D43" s="0" t="s">
        <v>74</v>
      </c>
      <c r="E43" s="0" t="n">
        <v>59656</v>
      </c>
      <c r="F43" s="0" t="n">
        <v>15936</v>
      </c>
      <c r="G43" s="0" t="n">
        <v>17546</v>
      </c>
      <c r="H43" s="0" t="n">
        <v>13387</v>
      </c>
    </row>
    <row r="44" customFormat="false" ht="15" hidden="false" customHeight="false" outlineLevel="0" collapsed="false">
      <c r="A44" s="0" t="n">
        <v>2016</v>
      </c>
      <c r="B44" s="0" t="s">
        <v>161</v>
      </c>
      <c r="C44" s="0" t="s">
        <v>162</v>
      </c>
      <c r="D44" s="0" t="s">
        <v>74</v>
      </c>
      <c r="E44" s="0" t="n">
        <v>95790</v>
      </c>
      <c r="F44" s="0" t="n">
        <v>13898</v>
      </c>
      <c r="G44" s="0" t="n">
        <v>13706</v>
      </c>
      <c r="H44" s="0" t="n">
        <v>13098</v>
      </c>
    </row>
    <row r="45" customFormat="false" ht="15" hidden="false" customHeight="false" outlineLevel="0" collapsed="false">
      <c r="A45" s="0" t="n">
        <v>2016</v>
      </c>
      <c r="B45" s="0" t="s">
        <v>200</v>
      </c>
      <c r="C45" s="0" t="s">
        <v>201</v>
      </c>
      <c r="D45" s="0" t="s">
        <v>72</v>
      </c>
      <c r="E45" s="0" t="n">
        <v>246140</v>
      </c>
      <c r="F45" s="0" t="n">
        <v>24742</v>
      </c>
      <c r="G45" s="0" t="n">
        <v>24576</v>
      </c>
      <c r="H45" s="0" t="n">
        <v>18213</v>
      </c>
    </row>
    <row r="46" customFormat="false" ht="15" hidden="false" customHeight="false" outlineLevel="0" collapsed="false">
      <c r="A46" s="0" t="n">
        <v>2016</v>
      </c>
      <c r="B46" s="0" t="s">
        <v>198</v>
      </c>
      <c r="C46" s="0" t="s">
        <v>199</v>
      </c>
      <c r="D46" s="0" t="s">
        <v>74</v>
      </c>
      <c r="E46" s="0" t="n">
        <v>515122</v>
      </c>
      <c r="F46" s="0" t="n">
        <v>15607</v>
      </c>
      <c r="G46" s="0" t="n">
        <v>15554</v>
      </c>
      <c r="H46" s="0" t="n">
        <v>14097</v>
      </c>
    </row>
    <row r="47" customFormat="false" ht="15" hidden="false" customHeight="false" outlineLevel="0" collapsed="false">
      <c r="A47" s="0" t="n">
        <v>2016</v>
      </c>
      <c r="B47" s="0" t="s">
        <v>202</v>
      </c>
      <c r="C47" s="0" t="s">
        <v>203</v>
      </c>
      <c r="D47" s="0" t="s">
        <v>73</v>
      </c>
      <c r="E47" s="0" t="n">
        <v>241013</v>
      </c>
      <c r="F47" s="0" t="n">
        <v>21458</v>
      </c>
      <c r="G47" s="0" t="n">
        <v>20093</v>
      </c>
      <c r="H47" s="0" t="n">
        <v>18908</v>
      </c>
    </row>
    <row r="48" customFormat="false" ht="15" hidden="false" customHeight="false" outlineLevel="0" collapsed="false">
      <c r="A48" s="0" t="n">
        <v>2016</v>
      </c>
      <c r="B48" s="0" t="s">
        <v>204</v>
      </c>
      <c r="C48" s="0" t="s">
        <v>205</v>
      </c>
      <c r="D48" s="0" t="s">
        <v>72</v>
      </c>
      <c r="E48" s="0" t="n">
        <v>161466</v>
      </c>
      <c r="F48" s="0" t="n">
        <v>23028</v>
      </c>
      <c r="G48" s="0" t="n">
        <v>23048</v>
      </c>
      <c r="H48" s="0" t="n">
        <v>18238</v>
      </c>
    </row>
    <row r="49" customFormat="false" ht="15" hidden="false" customHeight="false" outlineLevel="0" collapsed="false">
      <c r="A49" s="0" t="n">
        <v>2016</v>
      </c>
      <c r="B49" s="0" t="s">
        <v>196</v>
      </c>
      <c r="C49" s="0" t="s">
        <v>197</v>
      </c>
      <c r="D49" s="0" t="s">
        <v>73</v>
      </c>
      <c r="E49" s="0" t="n">
        <v>374603</v>
      </c>
      <c r="F49" s="0" t="n">
        <v>17552</v>
      </c>
      <c r="G49" s="0" t="n">
        <v>17386</v>
      </c>
      <c r="H49" s="0" t="n">
        <v>16113</v>
      </c>
    </row>
    <row r="50" customFormat="false" ht="15" hidden="false" customHeight="false" outlineLevel="0" collapsed="false">
      <c r="A50" s="0" t="n">
        <v>2016</v>
      </c>
      <c r="B50" s="0" t="s">
        <v>206</v>
      </c>
      <c r="C50" s="0" t="s">
        <v>207</v>
      </c>
      <c r="D50" s="0" t="s">
        <v>73</v>
      </c>
      <c r="E50" s="0" t="n">
        <v>277028</v>
      </c>
      <c r="F50" s="0" t="n">
        <v>21156</v>
      </c>
      <c r="G50" s="0" t="n">
        <v>20593</v>
      </c>
      <c r="H50" s="0" t="n">
        <v>16617</v>
      </c>
    </row>
    <row r="51" customFormat="false" ht="15" hidden="false" customHeight="false" outlineLevel="0" collapsed="false">
      <c r="A51" s="0" t="n">
        <v>2016</v>
      </c>
      <c r="B51" s="0" t="s">
        <v>222</v>
      </c>
      <c r="C51" s="0" t="s">
        <v>223</v>
      </c>
      <c r="D51" s="0" t="s">
        <v>72</v>
      </c>
      <c r="E51" s="0" t="n">
        <v>618765</v>
      </c>
      <c r="F51" s="0" t="n">
        <v>25243</v>
      </c>
      <c r="G51" s="0" t="n">
        <v>25522</v>
      </c>
      <c r="H51" s="0" t="n">
        <v>18914</v>
      </c>
    </row>
    <row r="52" customFormat="false" ht="15" hidden="false" customHeight="false" outlineLevel="0" collapsed="false">
      <c r="A52" s="0" t="n">
        <v>2016</v>
      </c>
      <c r="B52" s="0" t="s">
        <v>208</v>
      </c>
      <c r="C52" s="0" t="s">
        <v>209</v>
      </c>
      <c r="D52" s="0" t="s">
        <v>73</v>
      </c>
      <c r="E52" s="0" t="n">
        <v>229501</v>
      </c>
      <c r="F52" s="0" t="n">
        <v>19082</v>
      </c>
      <c r="G52" s="0" t="n">
        <v>18440</v>
      </c>
      <c r="H52" s="0" t="n">
        <v>15302</v>
      </c>
    </row>
    <row r="53" customFormat="false" ht="15" hidden="false" customHeight="false" outlineLevel="0" collapsed="false">
      <c r="A53" s="0" t="n">
        <v>2016</v>
      </c>
      <c r="B53" s="0" t="s">
        <v>217</v>
      </c>
      <c r="C53" s="0" t="s">
        <v>218</v>
      </c>
      <c r="D53" s="0" t="s">
        <v>75</v>
      </c>
      <c r="E53" s="0" t="n">
        <v>394494</v>
      </c>
      <c r="F53" s="0" t="n">
        <v>16962</v>
      </c>
      <c r="G53" s="0" t="n">
        <v>16671</v>
      </c>
      <c r="H53" s="0" t="n">
        <v>15734</v>
      </c>
    </row>
    <row r="54" customFormat="false" ht="15" hidden="false" customHeight="false" outlineLevel="0" collapsed="false">
      <c r="A54" s="0" t="n">
        <v>2016</v>
      </c>
      <c r="B54" s="0" t="s">
        <v>219</v>
      </c>
      <c r="C54" s="0" t="s">
        <v>50</v>
      </c>
      <c r="D54" s="0" t="s">
        <v>72</v>
      </c>
      <c r="E54" s="0" t="n">
        <v>2328797</v>
      </c>
      <c r="F54" s="0" t="n">
        <v>28529</v>
      </c>
      <c r="G54" s="0" t="n">
        <v>27795</v>
      </c>
      <c r="H54" s="0" t="n">
        <v>21040</v>
      </c>
    </row>
    <row r="55" customFormat="false" ht="15" hidden="false" customHeight="false" outlineLevel="0" collapsed="false">
      <c r="A55" s="0" t="n">
        <v>2016</v>
      </c>
      <c r="B55" s="0" t="s">
        <v>210</v>
      </c>
      <c r="C55" s="0" t="s">
        <v>211</v>
      </c>
      <c r="D55" s="0" t="s">
        <v>72</v>
      </c>
      <c r="E55" s="0" t="n">
        <v>295027</v>
      </c>
      <c r="F55" s="0" t="n">
        <v>21485</v>
      </c>
      <c r="G55" s="0" t="n">
        <v>21380</v>
      </c>
      <c r="H55" s="0" t="n">
        <v>16362</v>
      </c>
    </row>
    <row r="56" customFormat="false" ht="15" hidden="false" customHeight="false" outlineLevel="0" collapsed="false">
      <c r="A56" s="0" t="n">
        <v>2016</v>
      </c>
      <c r="B56" s="0" t="s">
        <v>220</v>
      </c>
      <c r="C56" s="0" t="s">
        <v>221</v>
      </c>
      <c r="D56" s="0" t="s">
        <v>72</v>
      </c>
      <c r="E56" s="0" t="n">
        <v>516819</v>
      </c>
      <c r="F56" s="0" t="n">
        <v>23714</v>
      </c>
      <c r="G56" s="0" t="n">
        <v>23209</v>
      </c>
      <c r="H56" s="0" t="n">
        <v>17751</v>
      </c>
    </row>
    <row r="57" customFormat="false" ht="15" hidden="false" customHeight="false" outlineLevel="0" collapsed="false">
      <c r="A57" s="0" t="n">
        <v>2016</v>
      </c>
      <c r="B57" s="0" t="s">
        <v>212</v>
      </c>
      <c r="C57" s="0" t="s">
        <v>213</v>
      </c>
      <c r="D57" s="0" t="s">
        <v>73</v>
      </c>
      <c r="E57" s="0" t="n">
        <v>137003</v>
      </c>
      <c r="F57" s="0" t="n">
        <v>20317</v>
      </c>
      <c r="G57" s="0" t="n">
        <v>20006</v>
      </c>
      <c r="H57" s="0" t="n">
        <v>17166</v>
      </c>
    </row>
    <row r="58" customFormat="false" ht="15" hidden="false" customHeight="false" outlineLevel="0" collapsed="false">
      <c r="A58" s="0" t="n">
        <v>2016</v>
      </c>
      <c r="B58" s="0" t="s">
        <v>214</v>
      </c>
      <c r="C58" s="0" t="s">
        <v>215</v>
      </c>
      <c r="D58" s="0" t="s">
        <v>74</v>
      </c>
      <c r="E58" s="0" t="n">
        <v>132812</v>
      </c>
      <c r="F58" s="0" t="n">
        <v>15824</v>
      </c>
      <c r="G58" s="0" t="n">
        <v>15734</v>
      </c>
      <c r="H58" s="0" t="n">
        <v>14722</v>
      </c>
    </row>
    <row r="59" customFormat="false" ht="15" hidden="false" customHeight="false" outlineLevel="0" collapsed="false">
      <c r="A59" s="0" t="n">
        <v>2016</v>
      </c>
      <c r="B59" s="0" t="s">
        <v>224</v>
      </c>
      <c r="C59" s="0" t="s">
        <v>51</v>
      </c>
      <c r="D59" s="0" t="s">
        <v>74</v>
      </c>
      <c r="E59" s="0" t="n">
        <v>1570008</v>
      </c>
      <c r="F59" s="0" t="n">
        <v>18374</v>
      </c>
      <c r="G59" s="0" t="n">
        <v>17811</v>
      </c>
      <c r="H59" s="0" t="n">
        <v>16828</v>
      </c>
    </row>
    <row r="60" customFormat="false" ht="15" hidden="false" customHeight="false" outlineLevel="0" collapsed="false">
      <c r="A60" s="0" t="n">
        <v>2016</v>
      </c>
      <c r="B60" s="0" t="s">
        <v>225</v>
      </c>
      <c r="C60" s="0" t="s">
        <v>226</v>
      </c>
      <c r="D60" s="0" t="s">
        <v>72</v>
      </c>
      <c r="E60" s="0" t="n">
        <v>263748</v>
      </c>
      <c r="F60" s="0" t="n">
        <v>23227</v>
      </c>
      <c r="G60" s="0" t="n">
        <v>22888</v>
      </c>
      <c r="H60" s="0" t="n">
        <v>18342</v>
      </c>
    </row>
    <row r="61" customFormat="false" ht="15" hidden="false" customHeight="false" outlineLevel="0" collapsed="false">
      <c r="A61" s="0" t="n">
        <v>2016</v>
      </c>
      <c r="B61" s="0" t="s">
        <v>227</v>
      </c>
      <c r="C61" s="0" t="s">
        <v>228</v>
      </c>
      <c r="D61" s="0" t="s">
        <v>75</v>
      </c>
      <c r="E61" s="0" t="n">
        <v>101154</v>
      </c>
      <c r="F61" s="0" t="n">
        <v>15811</v>
      </c>
      <c r="G61" s="0" t="n">
        <v>16240</v>
      </c>
      <c r="H61" s="0" t="n">
        <v>14356</v>
      </c>
    </row>
    <row r="62" customFormat="false" ht="15" hidden="false" customHeight="false" outlineLevel="0" collapsed="false">
      <c r="A62" s="0" t="n">
        <v>2016</v>
      </c>
      <c r="B62" s="0" t="s">
        <v>229</v>
      </c>
      <c r="C62" s="0" t="s">
        <v>230</v>
      </c>
      <c r="D62" s="0" t="s">
        <v>75</v>
      </c>
      <c r="E62" s="0" t="n">
        <v>104120</v>
      </c>
      <c r="F62" s="0" t="n">
        <v>15901</v>
      </c>
      <c r="G62" s="0" t="n">
        <v>16486</v>
      </c>
      <c r="H62" s="0" t="n">
        <v>14139</v>
      </c>
    </row>
    <row r="63" customFormat="false" ht="15" hidden="false" customHeight="false" outlineLevel="0" collapsed="false">
      <c r="A63" s="0" t="n">
        <v>2016</v>
      </c>
      <c r="B63" s="0" t="s">
        <v>233</v>
      </c>
      <c r="C63" s="0" t="s">
        <v>234</v>
      </c>
      <c r="D63" s="0" t="s">
        <v>75</v>
      </c>
      <c r="E63" s="0" t="n">
        <v>683565</v>
      </c>
      <c r="F63" s="0" t="n">
        <v>17823</v>
      </c>
      <c r="G63" s="0" t="n">
        <v>17693</v>
      </c>
      <c r="H63" s="0" t="n">
        <v>16744</v>
      </c>
    </row>
    <row r="64" customFormat="false" ht="15" hidden="false" customHeight="false" outlineLevel="0" collapsed="false">
      <c r="A64" s="0" t="n">
        <v>2016</v>
      </c>
      <c r="B64" s="0" t="s">
        <v>246</v>
      </c>
      <c r="C64" s="0" t="s">
        <v>247</v>
      </c>
      <c r="D64" s="0" t="s">
        <v>72</v>
      </c>
      <c r="E64" s="0" t="n">
        <v>214707</v>
      </c>
      <c r="F64" s="0" t="n">
        <v>22891</v>
      </c>
      <c r="G64" s="0" t="n">
        <v>22216</v>
      </c>
      <c r="H64" s="0" t="n">
        <v>17543</v>
      </c>
    </row>
    <row r="65" customFormat="false" ht="15" hidden="false" customHeight="false" outlineLevel="0" collapsed="false">
      <c r="A65" s="0" t="n">
        <v>2016</v>
      </c>
      <c r="B65" s="0" t="s">
        <v>231</v>
      </c>
      <c r="C65" s="0" t="s">
        <v>232</v>
      </c>
      <c r="D65" s="0" t="s">
        <v>72</v>
      </c>
      <c r="E65" s="0" t="n">
        <v>662017</v>
      </c>
      <c r="F65" s="0" t="n">
        <v>23044</v>
      </c>
      <c r="G65" s="0" t="n">
        <v>22332</v>
      </c>
      <c r="H65" s="0" t="n">
        <v>17242</v>
      </c>
    </row>
    <row r="66" customFormat="false" ht="15" hidden="false" customHeight="false" outlineLevel="0" collapsed="false">
      <c r="A66" s="0" t="n">
        <v>2016</v>
      </c>
      <c r="B66" s="0" t="s">
        <v>244</v>
      </c>
      <c r="C66" s="0" t="s">
        <v>245</v>
      </c>
      <c r="D66" s="0" t="s">
        <v>74</v>
      </c>
      <c r="E66" s="0" t="n">
        <v>214137</v>
      </c>
      <c r="F66" s="0" t="n">
        <v>18861</v>
      </c>
      <c r="G66" s="0" t="n">
        <v>19105</v>
      </c>
      <c r="H66" s="0" t="n">
        <v>15909</v>
      </c>
    </row>
    <row r="67" customFormat="false" ht="15" hidden="false" customHeight="false" outlineLevel="0" collapsed="false">
      <c r="A67" s="0" t="n">
        <v>2016</v>
      </c>
      <c r="B67" s="0" t="s">
        <v>239</v>
      </c>
      <c r="C67" s="0" t="s">
        <v>240</v>
      </c>
      <c r="D67" s="0" t="s">
        <v>73</v>
      </c>
      <c r="E67" s="0" t="n">
        <v>464634</v>
      </c>
      <c r="F67" s="0" t="n">
        <v>19848</v>
      </c>
      <c r="G67" s="0" t="n">
        <v>19456</v>
      </c>
      <c r="H67" s="0" t="n">
        <v>16526</v>
      </c>
    </row>
    <row r="68" customFormat="false" ht="15" hidden="false" customHeight="false" outlineLevel="0" collapsed="false">
      <c r="A68" s="0" t="n">
        <v>2016</v>
      </c>
      <c r="B68" s="0" t="s">
        <v>248</v>
      </c>
      <c r="C68" s="0" t="s">
        <v>249</v>
      </c>
      <c r="D68" s="0" t="s">
        <v>73</v>
      </c>
      <c r="E68" s="0" t="n">
        <v>297907</v>
      </c>
      <c r="F68" s="0" t="n">
        <v>22015</v>
      </c>
      <c r="G68" s="0" t="n">
        <v>21279</v>
      </c>
      <c r="H68" s="0" t="n">
        <v>17799</v>
      </c>
    </row>
    <row r="69" customFormat="false" ht="15" hidden="false" customHeight="false" outlineLevel="0" collapsed="false">
      <c r="A69" s="0" t="n">
        <v>2016</v>
      </c>
      <c r="B69" s="0" t="s">
        <v>252</v>
      </c>
      <c r="C69" s="0" t="s">
        <v>253</v>
      </c>
      <c r="D69" s="0" t="s">
        <v>72</v>
      </c>
      <c r="E69" s="0" t="n">
        <v>230264</v>
      </c>
      <c r="F69" s="0" t="n">
        <v>21784</v>
      </c>
      <c r="G69" s="0" t="n">
        <v>21509</v>
      </c>
      <c r="H69" s="0" t="n">
        <v>16788</v>
      </c>
    </row>
    <row r="70" customFormat="false" ht="15" hidden="false" customHeight="false" outlineLevel="0" collapsed="false">
      <c r="A70" s="0" t="n">
        <v>2016</v>
      </c>
      <c r="B70" s="0" t="s">
        <v>256</v>
      </c>
      <c r="C70" s="0" t="s">
        <v>257</v>
      </c>
      <c r="D70" s="0" t="s">
        <v>73</v>
      </c>
      <c r="E70" s="0" t="n">
        <v>192213</v>
      </c>
      <c r="F70" s="0" t="n">
        <v>20717</v>
      </c>
      <c r="G70" s="0" t="n">
        <v>18754</v>
      </c>
      <c r="H70" s="0" t="n">
        <v>16569</v>
      </c>
    </row>
    <row r="71" customFormat="false" ht="15" hidden="false" customHeight="false" outlineLevel="0" collapsed="false">
      <c r="A71" s="0" t="n">
        <v>2016</v>
      </c>
      <c r="B71" s="0" t="s">
        <v>235</v>
      </c>
      <c r="C71" s="0" t="s">
        <v>236</v>
      </c>
      <c r="D71" s="0" t="s">
        <v>72</v>
      </c>
      <c r="E71" s="0" t="n">
        <v>330719</v>
      </c>
      <c r="F71" s="0" t="n">
        <v>24652</v>
      </c>
      <c r="G71" s="0" t="n">
        <v>23813</v>
      </c>
      <c r="H71" s="0" t="n">
        <v>18450</v>
      </c>
    </row>
    <row r="72" customFormat="false" ht="15" hidden="false" customHeight="false" outlineLevel="0" collapsed="false">
      <c r="A72" s="0" t="n">
        <v>2016</v>
      </c>
      <c r="B72" s="0" t="s">
        <v>250</v>
      </c>
      <c r="C72" s="0" t="s">
        <v>251</v>
      </c>
      <c r="D72" s="0" t="s">
        <v>73</v>
      </c>
      <c r="E72" s="0" t="n">
        <v>206545</v>
      </c>
      <c r="F72" s="0" t="n">
        <v>19966</v>
      </c>
      <c r="G72" s="0" t="n">
        <v>19736</v>
      </c>
      <c r="H72" s="0" t="n">
        <v>15936</v>
      </c>
    </row>
    <row r="73" customFormat="false" ht="15" hidden="false" customHeight="false" outlineLevel="0" collapsed="false">
      <c r="A73" s="0" t="n">
        <v>2016</v>
      </c>
      <c r="B73" s="0" t="s">
        <v>242</v>
      </c>
      <c r="C73" s="0" t="s">
        <v>243</v>
      </c>
      <c r="D73" s="0" t="s">
        <v>73</v>
      </c>
      <c r="E73" s="0" t="n">
        <v>261922</v>
      </c>
      <c r="F73" s="0" t="n">
        <v>19830</v>
      </c>
      <c r="G73" s="0" t="n">
        <v>19405</v>
      </c>
      <c r="H73" s="0" t="n">
        <v>15508</v>
      </c>
    </row>
    <row r="74" customFormat="false" ht="15" hidden="false" customHeight="false" outlineLevel="0" collapsed="false">
      <c r="A74" s="0" t="n">
        <v>2016</v>
      </c>
      <c r="B74" s="0" t="s">
        <v>237</v>
      </c>
      <c r="C74" s="0" t="s">
        <v>238</v>
      </c>
      <c r="D74" s="0" t="s">
        <v>72</v>
      </c>
      <c r="E74" s="0" t="n">
        <v>395187</v>
      </c>
      <c r="F74" s="0" t="n">
        <v>22541</v>
      </c>
      <c r="G74" s="0" t="n">
        <v>22336</v>
      </c>
      <c r="H74" s="0" t="n">
        <v>17717</v>
      </c>
    </row>
    <row r="75" customFormat="false" ht="15" hidden="false" customHeight="false" outlineLevel="0" collapsed="false">
      <c r="A75" s="0" t="n">
        <v>2016</v>
      </c>
      <c r="B75" s="0" t="s">
        <v>254</v>
      </c>
      <c r="C75" s="0" t="s">
        <v>255</v>
      </c>
      <c r="D75" s="0" t="s">
        <v>74</v>
      </c>
      <c r="E75" s="0" t="n">
        <v>245619</v>
      </c>
      <c r="F75" s="0" t="n">
        <v>16290</v>
      </c>
      <c r="G75" s="0" t="n">
        <v>17436</v>
      </c>
      <c r="H75" s="0" t="n">
        <v>13493</v>
      </c>
    </row>
    <row r="76" customFormat="false" ht="15" hidden="false" customHeight="false" outlineLevel="0" collapsed="false">
      <c r="A76" s="0" t="n">
        <v>2016</v>
      </c>
      <c r="B76" s="0" t="s">
        <v>260</v>
      </c>
      <c r="C76" s="0" t="s">
        <v>261</v>
      </c>
      <c r="D76" s="0" t="s">
        <v>72</v>
      </c>
      <c r="E76" s="0" t="n">
        <v>301476</v>
      </c>
      <c r="F76" s="0" t="n">
        <v>21480</v>
      </c>
      <c r="G76" s="0" t="n">
        <v>20562</v>
      </c>
      <c r="H76" s="0" t="n">
        <v>17289</v>
      </c>
    </row>
    <row r="77" customFormat="false" ht="15" hidden="false" customHeight="false" outlineLevel="0" collapsed="false">
      <c r="A77" s="0" t="n">
        <v>2016</v>
      </c>
      <c r="B77" s="0" t="s">
        <v>262</v>
      </c>
      <c r="C77" s="0" t="s">
        <v>263</v>
      </c>
      <c r="D77" s="0" t="s">
        <v>74</v>
      </c>
      <c r="E77" s="0" t="n">
        <v>335245</v>
      </c>
      <c r="F77" s="0" t="n">
        <v>15354</v>
      </c>
      <c r="G77" s="0" t="n">
        <v>14741</v>
      </c>
      <c r="H77" s="0" t="n">
        <v>14636</v>
      </c>
    </row>
    <row r="78" customFormat="false" ht="15" hidden="false" customHeight="false" outlineLevel="0" collapsed="false">
      <c r="A78" s="0" t="n">
        <v>2016</v>
      </c>
      <c r="B78" s="0" t="s">
        <v>264</v>
      </c>
      <c r="C78" s="0" t="s">
        <v>265</v>
      </c>
      <c r="D78" s="0" t="s">
        <v>72</v>
      </c>
      <c r="E78" s="0" t="n">
        <v>380840</v>
      </c>
      <c r="F78" s="0" t="n">
        <v>23497</v>
      </c>
      <c r="G78" s="0" t="n">
        <v>22973</v>
      </c>
      <c r="H78" s="0" t="n">
        <v>17715</v>
      </c>
    </row>
    <row r="79" customFormat="false" ht="15" hidden="false" customHeight="false" outlineLevel="0" collapsed="false">
      <c r="A79" s="0" t="n">
        <v>2016</v>
      </c>
      <c r="B79" s="0" t="s">
        <v>258</v>
      </c>
      <c r="C79" s="0" t="s">
        <v>259</v>
      </c>
      <c r="D79" s="0" t="s">
        <v>75</v>
      </c>
      <c r="E79" s="0" t="n">
        <v>201063</v>
      </c>
      <c r="F79" s="0" t="n">
        <v>14503</v>
      </c>
      <c r="G79" s="0" t="n">
        <v>14209</v>
      </c>
      <c r="H79" s="0" t="n">
        <v>14015</v>
      </c>
    </row>
    <row r="80" customFormat="false" ht="15" hidden="false" customHeight="false" outlineLevel="0" collapsed="false">
      <c r="A80" s="0" t="n">
        <v>2016</v>
      </c>
      <c r="B80" s="0" t="s">
        <v>266</v>
      </c>
      <c r="C80" s="0" t="s">
        <v>267</v>
      </c>
      <c r="D80" s="0" t="s">
        <v>73</v>
      </c>
      <c r="E80" s="0" t="n">
        <v>105029</v>
      </c>
      <c r="F80" s="0" t="n">
        <v>18595</v>
      </c>
      <c r="G80" s="0" t="n">
        <v>18525</v>
      </c>
      <c r="H80" s="0" t="n">
        <v>17056</v>
      </c>
    </row>
    <row r="81" customFormat="false" ht="15" hidden="false" customHeight="false" outlineLevel="0" collapsed="false">
      <c r="A81" s="0" t="n">
        <v>2016</v>
      </c>
      <c r="B81" s="0" t="s">
        <v>270</v>
      </c>
      <c r="C81" s="0" t="s">
        <v>271</v>
      </c>
      <c r="D81" s="0" t="s">
        <v>73</v>
      </c>
      <c r="E81" s="0" t="n">
        <v>2870898</v>
      </c>
      <c r="F81" s="0" t="n">
        <v>24843</v>
      </c>
      <c r="G81" s="0" t="n">
        <v>23749</v>
      </c>
      <c r="H81" s="0" t="n">
        <v>21217</v>
      </c>
    </row>
    <row r="82" customFormat="false" ht="15" hidden="false" customHeight="false" outlineLevel="0" collapsed="false">
      <c r="A82" s="0" t="n">
        <v>2016</v>
      </c>
      <c r="B82" s="0" t="s">
        <v>268</v>
      </c>
      <c r="C82" s="0" t="s">
        <v>269</v>
      </c>
      <c r="D82" s="0" t="s">
        <v>72</v>
      </c>
      <c r="E82" s="0" t="n">
        <v>251354</v>
      </c>
      <c r="F82" s="0" t="n">
        <v>19518</v>
      </c>
      <c r="G82" s="0" t="n">
        <v>17928</v>
      </c>
      <c r="H82" s="0" t="n">
        <v>15412</v>
      </c>
    </row>
    <row r="83" customFormat="false" ht="15" hidden="false" customHeight="false" outlineLevel="0" collapsed="false">
      <c r="A83" s="0" t="n">
        <v>2016</v>
      </c>
      <c r="B83" s="0" t="s">
        <v>272</v>
      </c>
      <c r="C83" s="0" t="s">
        <v>273</v>
      </c>
      <c r="D83" s="0" t="s">
        <v>72</v>
      </c>
      <c r="E83" s="0" t="n">
        <v>180414</v>
      </c>
      <c r="F83" s="0" t="n">
        <v>19019</v>
      </c>
      <c r="G83" s="0" t="n">
        <v>19107</v>
      </c>
      <c r="H83" s="0" t="n">
        <v>15522</v>
      </c>
    </row>
    <row r="84" customFormat="false" ht="15" hidden="false" customHeight="false" outlineLevel="0" collapsed="false">
      <c r="A84" s="0" t="n">
        <v>2016</v>
      </c>
      <c r="B84" s="0" t="s">
        <v>274</v>
      </c>
      <c r="C84" s="0" t="s">
        <v>275</v>
      </c>
      <c r="D84" s="0" t="s">
        <v>74</v>
      </c>
      <c r="E84" s="0" t="n">
        <v>662725</v>
      </c>
      <c r="F84" s="0" t="n">
        <v>16228</v>
      </c>
      <c r="G84" s="0" t="n">
        <v>16061</v>
      </c>
      <c r="H84" s="0" t="n">
        <v>14392</v>
      </c>
    </row>
    <row r="85" customFormat="false" ht="15" hidden="false" customHeight="false" outlineLevel="0" collapsed="false">
      <c r="A85" s="0" t="n">
        <v>2016</v>
      </c>
      <c r="B85" s="0" t="s">
        <v>280</v>
      </c>
      <c r="C85" s="0" t="s">
        <v>281</v>
      </c>
      <c r="D85" s="0" t="s">
        <v>73</v>
      </c>
      <c r="E85" s="0" t="n">
        <v>201387</v>
      </c>
      <c r="F85" s="0" t="n">
        <v>21764</v>
      </c>
      <c r="G85" s="0" t="n">
        <v>20511</v>
      </c>
      <c r="H85" s="0" t="n">
        <v>17876</v>
      </c>
    </row>
    <row r="86" customFormat="false" ht="15" hidden="false" customHeight="false" outlineLevel="0" collapsed="false">
      <c r="A86" s="0" t="n">
        <v>2016</v>
      </c>
      <c r="B86" s="0" t="s">
        <v>284</v>
      </c>
      <c r="C86" s="0" t="s">
        <v>285</v>
      </c>
      <c r="D86" s="0" t="s">
        <v>72</v>
      </c>
      <c r="E86" s="0" t="n">
        <v>133152</v>
      </c>
      <c r="F86" s="0" t="n">
        <v>20350</v>
      </c>
      <c r="G86" s="0" t="n">
        <v>20183</v>
      </c>
      <c r="H86" s="0" t="n">
        <v>15361</v>
      </c>
    </row>
    <row r="87" customFormat="false" ht="15" hidden="false" customHeight="false" outlineLevel="0" collapsed="false">
      <c r="A87" s="0" t="n">
        <v>2016</v>
      </c>
      <c r="B87" s="0" t="s">
        <v>194</v>
      </c>
      <c r="C87" s="0" t="s">
        <v>195</v>
      </c>
      <c r="D87" s="0" t="s">
        <v>72</v>
      </c>
      <c r="E87" s="0" t="n">
        <v>160506</v>
      </c>
      <c r="F87" s="0" t="n">
        <v>21750</v>
      </c>
      <c r="G87" s="0" t="n">
        <v>20773</v>
      </c>
      <c r="H87" s="0" t="n">
        <v>18721</v>
      </c>
    </row>
    <row r="88" customFormat="false" ht="15" hidden="false" customHeight="false" outlineLevel="0" collapsed="false">
      <c r="A88" s="0" t="n">
        <v>2016</v>
      </c>
      <c r="B88" s="0" t="s">
        <v>282</v>
      </c>
      <c r="C88" s="0" t="s">
        <v>283</v>
      </c>
      <c r="D88" s="0" t="s">
        <v>75</v>
      </c>
      <c r="E88" s="0" t="n">
        <v>232376</v>
      </c>
      <c r="F88" s="0" t="n">
        <v>16633</v>
      </c>
      <c r="G88" s="0" t="n">
        <v>17069</v>
      </c>
      <c r="H88" s="0" t="n">
        <v>15921</v>
      </c>
    </row>
    <row r="89" customFormat="false" ht="15" hidden="false" customHeight="false" outlineLevel="0" collapsed="false">
      <c r="A89" s="0" t="n">
        <v>2016</v>
      </c>
      <c r="B89" s="0" t="s">
        <v>276</v>
      </c>
      <c r="C89" s="0" t="s">
        <v>277</v>
      </c>
      <c r="D89" s="0" t="s">
        <v>75</v>
      </c>
      <c r="E89" s="0" t="n">
        <v>213408</v>
      </c>
      <c r="F89" s="0" t="n">
        <v>17922</v>
      </c>
      <c r="G89" s="0" t="n">
        <v>17761</v>
      </c>
      <c r="H89" s="0" t="n">
        <v>16433</v>
      </c>
    </row>
    <row r="90" customFormat="false" ht="15" hidden="false" customHeight="false" outlineLevel="0" collapsed="false">
      <c r="A90" s="0" t="n">
        <v>2016</v>
      </c>
      <c r="B90" s="0" t="s">
        <v>278</v>
      </c>
      <c r="C90" s="0" t="s">
        <v>279</v>
      </c>
      <c r="D90" s="0" t="s">
        <v>72</v>
      </c>
      <c r="E90" s="0" t="n">
        <v>206902</v>
      </c>
      <c r="F90" s="0" t="n">
        <v>21464</v>
      </c>
      <c r="G90" s="0" t="n">
        <v>20207</v>
      </c>
      <c r="H90" s="0" t="n">
        <v>17334</v>
      </c>
    </row>
    <row r="91" customFormat="false" ht="15" hidden="false" customHeight="false" outlineLevel="0" collapsed="false">
      <c r="A91" s="0" t="n">
        <v>2016</v>
      </c>
      <c r="B91" s="0" t="s">
        <v>288</v>
      </c>
      <c r="C91" s="0" t="s">
        <v>289</v>
      </c>
      <c r="D91" s="0" t="s">
        <v>74</v>
      </c>
      <c r="E91" s="0" t="n">
        <v>365093</v>
      </c>
      <c r="F91" s="0" t="n">
        <v>17031</v>
      </c>
      <c r="G91" s="0" t="n">
        <v>16725</v>
      </c>
      <c r="H91" s="0" t="n">
        <v>17109</v>
      </c>
    </row>
    <row r="92" customFormat="false" ht="15" hidden="false" customHeight="false" outlineLevel="0" collapsed="false">
      <c r="A92" s="0" t="n">
        <v>2016</v>
      </c>
      <c r="B92" s="0" t="s">
        <v>290</v>
      </c>
      <c r="C92" s="0" t="s">
        <v>291</v>
      </c>
      <c r="D92" s="0" t="s">
        <v>74</v>
      </c>
      <c r="E92" s="0" t="n">
        <v>213141</v>
      </c>
      <c r="F92" s="0" t="n">
        <v>16942</v>
      </c>
      <c r="G92" s="0" t="n">
        <v>17010</v>
      </c>
      <c r="H92" s="0" t="n">
        <v>14153</v>
      </c>
    </row>
    <row r="93" customFormat="false" ht="15" hidden="false" customHeight="false" outlineLevel="0" collapsed="false">
      <c r="A93" s="0" t="n">
        <v>2016</v>
      </c>
      <c r="B93" s="0" t="s">
        <v>298</v>
      </c>
      <c r="C93" s="0" t="s">
        <v>299</v>
      </c>
      <c r="D93" s="0" t="s">
        <v>72</v>
      </c>
      <c r="E93" s="0" t="n">
        <v>416042</v>
      </c>
      <c r="F93" s="0" t="n">
        <v>21382</v>
      </c>
      <c r="G93" s="0" t="n">
        <v>19498</v>
      </c>
      <c r="H93" s="0" t="n">
        <v>17203</v>
      </c>
    </row>
    <row r="94" customFormat="false" ht="15" hidden="false" customHeight="false" outlineLevel="0" collapsed="false">
      <c r="A94" s="0" t="n">
        <v>2016</v>
      </c>
      <c r="B94" s="0" t="s">
        <v>294</v>
      </c>
      <c r="C94" s="0" t="s">
        <v>295</v>
      </c>
      <c r="D94" s="0" t="s">
        <v>72</v>
      </c>
      <c r="E94" s="0" t="n">
        <v>1619825</v>
      </c>
      <c r="F94" s="0" t="n">
        <v>23664</v>
      </c>
      <c r="G94" s="0" t="n">
        <v>23147</v>
      </c>
      <c r="H94" s="0" t="n">
        <v>19119</v>
      </c>
    </row>
    <row r="95" customFormat="false" ht="15" hidden="false" customHeight="false" outlineLevel="0" collapsed="false">
      <c r="A95" s="0" t="n">
        <v>2016</v>
      </c>
      <c r="B95" s="0" t="s">
        <v>296</v>
      </c>
      <c r="C95" s="0" t="s">
        <v>297</v>
      </c>
      <c r="D95" s="0" t="s">
        <v>75</v>
      </c>
      <c r="E95" s="0" t="n">
        <v>263407</v>
      </c>
      <c r="F95" s="0" t="n">
        <v>15168</v>
      </c>
      <c r="G95" s="0" t="n">
        <v>15575</v>
      </c>
      <c r="H95" s="0" t="n">
        <v>14006</v>
      </c>
    </row>
    <row r="96" customFormat="false" ht="15" hidden="false" customHeight="false" outlineLevel="0" collapsed="false">
      <c r="A96" s="0" t="n">
        <v>2016</v>
      </c>
      <c r="B96" s="0" t="s">
        <v>292</v>
      </c>
      <c r="C96" s="0" t="s">
        <v>293</v>
      </c>
      <c r="D96" s="0" t="s">
        <v>73</v>
      </c>
      <c r="E96" s="0" t="n">
        <v>159087</v>
      </c>
      <c r="F96" s="0" t="n">
        <v>19820</v>
      </c>
      <c r="G96" s="0" t="n">
        <v>19365</v>
      </c>
      <c r="H96" s="0" t="n">
        <v>17629</v>
      </c>
    </row>
    <row r="97" customFormat="false" ht="15" hidden="false" customHeight="false" outlineLevel="0" collapsed="false">
      <c r="A97" s="0" t="n">
        <v>2016</v>
      </c>
      <c r="B97" s="0" t="s">
        <v>302</v>
      </c>
      <c r="C97" s="0" t="s">
        <v>303</v>
      </c>
      <c r="D97" s="0" t="s">
        <v>72</v>
      </c>
      <c r="E97" s="0" t="n">
        <v>180061</v>
      </c>
      <c r="F97" s="0" t="n">
        <v>23556</v>
      </c>
      <c r="G97" s="0" t="n">
        <v>23015</v>
      </c>
      <c r="H97" s="0" t="n">
        <v>19766</v>
      </c>
    </row>
    <row r="98" customFormat="false" ht="15" hidden="false" customHeight="false" outlineLevel="0" collapsed="false">
      <c r="A98" s="0" t="n">
        <v>2016</v>
      </c>
      <c r="B98" s="0" t="s">
        <v>300</v>
      </c>
      <c r="C98" s="0" t="s">
        <v>301</v>
      </c>
      <c r="D98" s="0" t="s">
        <v>72</v>
      </c>
      <c r="E98" s="0" t="n">
        <v>630934</v>
      </c>
      <c r="F98" s="0" t="n">
        <v>22179</v>
      </c>
      <c r="G98" s="0" t="n">
        <v>21854</v>
      </c>
      <c r="H98" s="0" t="n">
        <v>16347</v>
      </c>
    </row>
    <row r="99" customFormat="false" ht="15" hidden="false" customHeight="false" outlineLevel="0" collapsed="false">
      <c r="A99" s="0" t="n">
        <v>2016</v>
      </c>
      <c r="B99" s="0" t="s">
        <v>304</v>
      </c>
      <c r="C99" s="0" t="s">
        <v>305</v>
      </c>
      <c r="D99" s="0" t="s">
        <v>72</v>
      </c>
      <c r="E99" s="0" t="n">
        <v>401374</v>
      </c>
      <c r="F99" s="0" t="n">
        <v>21584</v>
      </c>
      <c r="G99" s="0" t="n">
        <v>21598</v>
      </c>
      <c r="H99" s="0" t="n">
        <v>16988</v>
      </c>
    </row>
    <row r="100" customFormat="false" ht="15" hidden="false" customHeight="false" outlineLevel="0" collapsed="false">
      <c r="A100" s="0" t="n">
        <v>2016</v>
      </c>
      <c r="B100" s="0" t="s">
        <v>306</v>
      </c>
      <c r="C100" s="0" t="s">
        <v>307</v>
      </c>
      <c r="D100" s="0" t="s">
        <v>72</v>
      </c>
      <c r="E100" s="0" t="n">
        <v>619171</v>
      </c>
      <c r="F100" s="0" t="n">
        <v>23554</v>
      </c>
      <c r="G100" s="0" t="n">
        <v>23920</v>
      </c>
      <c r="H100" s="0" t="n">
        <v>17992</v>
      </c>
    </row>
    <row r="101" customFormat="false" ht="15" hidden="false" customHeight="false" outlineLevel="0" collapsed="false">
      <c r="A101" s="0" t="n">
        <v>2016</v>
      </c>
      <c r="B101" s="0" t="s">
        <v>310</v>
      </c>
      <c r="C101" s="0" t="s">
        <v>311</v>
      </c>
      <c r="D101" s="0" t="s">
        <v>72</v>
      </c>
      <c r="E101" s="0" t="n">
        <v>114465</v>
      </c>
      <c r="F101" s="0" t="n">
        <v>20123</v>
      </c>
      <c r="G101" s="0" t="n">
        <v>19908</v>
      </c>
      <c r="H101" s="0" t="n">
        <v>16154</v>
      </c>
    </row>
    <row r="102" customFormat="false" ht="15" hidden="false" customHeight="false" outlineLevel="0" collapsed="false">
      <c r="A102" s="0" t="n">
        <v>2016</v>
      </c>
      <c r="B102" s="0" t="s">
        <v>312</v>
      </c>
      <c r="C102" s="0" t="s">
        <v>313</v>
      </c>
      <c r="D102" s="0" t="s">
        <v>72</v>
      </c>
      <c r="E102" s="0" t="n">
        <v>127878</v>
      </c>
      <c r="F102" s="0" t="n">
        <v>21264</v>
      </c>
      <c r="G102" s="0" t="n">
        <v>21199</v>
      </c>
      <c r="H102" s="0" t="n">
        <v>17359</v>
      </c>
    </row>
    <row r="103" customFormat="false" ht="15" hidden="false" customHeight="false" outlineLevel="0" collapsed="false">
      <c r="A103" s="0" t="n">
        <v>2016</v>
      </c>
      <c r="B103" s="0" t="s">
        <v>308</v>
      </c>
      <c r="C103" s="0" t="s">
        <v>309</v>
      </c>
      <c r="D103" s="0" t="s">
        <v>72</v>
      </c>
      <c r="E103" s="0" t="n">
        <v>623216</v>
      </c>
      <c r="F103" s="0" t="n">
        <v>21943</v>
      </c>
      <c r="G103" s="0" t="n">
        <v>20995</v>
      </c>
      <c r="H103" s="0" t="n">
        <v>17466</v>
      </c>
    </row>
    <row r="104" customFormat="false" ht="15" hidden="false" customHeight="false" outlineLevel="0" collapsed="false">
      <c r="A104" s="0" t="n">
        <v>2016</v>
      </c>
      <c r="B104" s="0" t="s">
        <v>318</v>
      </c>
      <c r="C104" s="0" t="s">
        <v>319</v>
      </c>
      <c r="D104" s="0" t="s">
        <v>72</v>
      </c>
      <c r="E104" s="0" t="n">
        <v>616571</v>
      </c>
      <c r="F104" s="0" t="n">
        <v>22419</v>
      </c>
      <c r="G104" s="0" t="n">
        <v>22368</v>
      </c>
      <c r="H104" s="0" t="n">
        <v>16525</v>
      </c>
    </row>
    <row r="105" customFormat="false" ht="15" hidden="false" customHeight="false" outlineLevel="0" collapsed="false">
      <c r="A105" s="0" t="n">
        <v>2016</v>
      </c>
      <c r="B105" s="0" t="s">
        <v>314</v>
      </c>
      <c r="C105" s="0" t="s">
        <v>315</v>
      </c>
      <c r="D105" s="0" t="s">
        <v>72</v>
      </c>
      <c r="E105" s="0" t="n">
        <v>674365</v>
      </c>
      <c r="F105" s="0" t="n">
        <v>21965</v>
      </c>
      <c r="G105" s="0" t="n">
        <v>21072</v>
      </c>
      <c r="H105" s="0" t="n">
        <v>16886</v>
      </c>
    </row>
    <row r="106" customFormat="false" ht="15" hidden="false" customHeight="false" outlineLevel="0" collapsed="false">
      <c r="A106" s="0" t="n">
        <v>2016</v>
      </c>
      <c r="B106" s="0" t="s">
        <v>320</v>
      </c>
      <c r="C106" s="0" t="s">
        <v>321</v>
      </c>
      <c r="D106" s="0" t="s">
        <v>73</v>
      </c>
      <c r="E106" s="0" t="n">
        <v>213774</v>
      </c>
      <c r="F106" s="0" t="n">
        <v>18438</v>
      </c>
      <c r="G106" s="0" t="n">
        <v>18405</v>
      </c>
      <c r="H106" s="0" t="n">
        <v>16650</v>
      </c>
    </row>
    <row r="107" customFormat="false" ht="15" hidden="false" customHeight="false" outlineLevel="0" collapsed="false">
      <c r="A107" s="0" t="n">
        <v>2016</v>
      </c>
      <c r="B107" s="0" t="s">
        <v>316</v>
      </c>
      <c r="C107" s="0" t="s">
        <v>317</v>
      </c>
      <c r="D107" s="0" t="s">
        <v>74</v>
      </c>
      <c r="E107" s="0" t="n">
        <v>99641</v>
      </c>
      <c r="F107" s="0" t="n">
        <v>14266</v>
      </c>
      <c r="G107" s="0" t="n">
        <v>13907</v>
      </c>
      <c r="H107" s="0" t="n">
        <v>13550</v>
      </c>
    </row>
    <row r="108" customFormat="false" ht="15" hidden="false" customHeight="false" outlineLevel="0" collapsed="false">
      <c r="A108" s="0" t="n">
        <v>2017</v>
      </c>
      <c r="B108" s="0" t="s">
        <v>90</v>
      </c>
      <c r="C108" s="0" t="s">
        <v>91</v>
      </c>
      <c r="D108" s="0" t="s">
        <v>75</v>
      </c>
      <c r="E108" s="0" t="n">
        <v>250137</v>
      </c>
      <c r="F108" s="0" t="n">
        <v>14542</v>
      </c>
      <c r="G108" s="0" t="n">
        <v>15777</v>
      </c>
      <c r="H108" s="0" t="n">
        <v>12691</v>
      </c>
    </row>
    <row r="109" customFormat="false" ht="15" hidden="false" customHeight="false" outlineLevel="0" collapsed="false">
      <c r="A109" s="0" t="n">
        <v>2017</v>
      </c>
      <c r="B109" s="0" t="s">
        <v>93</v>
      </c>
      <c r="C109" s="0" t="s">
        <v>94</v>
      </c>
      <c r="D109" s="0" t="s">
        <v>72</v>
      </c>
      <c r="E109" s="0" t="n">
        <v>311247</v>
      </c>
      <c r="F109" s="0" t="n">
        <v>21389</v>
      </c>
      <c r="G109" s="0" t="n">
        <v>21267</v>
      </c>
      <c r="H109" s="0" t="n">
        <v>17420</v>
      </c>
    </row>
    <row r="110" customFormat="false" ht="15" hidden="false" customHeight="false" outlineLevel="0" collapsed="false">
      <c r="A110" s="0" t="n">
        <v>2017</v>
      </c>
      <c r="B110" s="0" t="s">
        <v>96</v>
      </c>
      <c r="C110" s="0" t="s">
        <v>97</v>
      </c>
      <c r="D110" s="0" t="s">
        <v>73</v>
      </c>
      <c r="E110" s="0" t="n">
        <v>348502</v>
      </c>
      <c r="F110" s="0" t="n">
        <v>21106</v>
      </c>
      <c r="G110" s="0" t="n">
        <v>20043</v>
      </c>
      <c r="H110" s="0" t="n">
        <v>17688</v>
      </c>
    </row>
    <row r="111" customFormat="false" ht="15" hidden="false" customHeight="false" outlineLevel="0" collapsed="false">
      <c r="A111" s="0" t="n">
        <v>2017</v>
      </c>
      <c r="B111" s="0" t="s">
        <v>99</v>
      </c>
      <c r="C111" s="0" t="s">
        <v>100</v>
      </c>
      <c r="D111" s="0" t="s">
        <v>72</v>
      </c>
      <c r="E111" s="0" t="n">
        <v>97401</v>
      </c>
      <c r="F111" s="0" t="n">
        <v>22475</v>
      </c>
      <c r="G111" s="0" t="n">
        <v>20323</v>
      </c>
      <c r="H111" s="0" t="n">
        <v>17816</v>
      </c>
    </row>
    <row r="112" customFormat="false" ht="15" hidden="false" customHeight="false" outlineLevel="0" collapsed="false">
      <c r="A112" s="0" t="n">
        <v>2017</v>
      </c>
      <c r="B112" s="0" t="s">
        <v>105</v>
      </c>
      <c r="C112" s="0" t="s">
        <v>106</v>
      </c>
      <c r="D112" s="0" t="s">
        <v>73</v>
      </c>
      <c r="E112" s="0" t="n">
        <v>151452</v>
      </c>
      <c r="F112" s="0" t="n">
        <v>18536</v>
      </c>
      <c r="G112" s="0" t="n">
        <v>18006</v>
      </c>
      <c r="H112" s="0" t="n">
        <v>15771</v>
      </c>
    </row>
    <row r="113" customFormat="false" ht="15" hidden="false" customHeight="false" outlineLevel="0" collapsed="false">
      <c r="A113" s="0" t="n">
        <v>2017</v>
      </c>
      <c r="B113" s="0" t="s">
        <v>192</v>
      </c>
      <c r="C113" s="0" t="s">
        <v>193</v>
      </c>
      <c r="D113" s="0" t="s">
        <v>74</v>
      </c>
      <c r="E113" s="0" t="n">
        <v>209704</v>
      </c>
      <c r="F113" s="0" t="n">
        <v>18566</v>
      </c>
      <c r="G113" s="0" t="n">
        <v>18633</v>
      </c>
      <c r="H113" s="0" t="n">
        <v>16380</v>
      </c>
    </row>
    <row r="114" customFormat="false" ht="15" hidden="false" customHeight="false" outlineLevel="0" collapsed="false">
      <c r="A114" s="0" t="n">
        <v>2017</v>
      </c>
      <c r="B114" s="0" t="s">
        <v>102</v>
      </c>
      <c r="C114" s="0" t="s">
        <v>103</v>
      </c>
      <c r="D114" s="0" t="s">
        <v>73</v>
      </c>
      <c r="E114" s="0" t="n">
        <v>253812</v>
      </c>
      <c r="F114" s="0" t="n">
        <v>20492</v>
      </c>
      <c r="G114" s="0" t="n">
        <v>19349</v>
      </c>
      <c r="H114" s="0" t="n">
        <v>16829</v>
      </c>
    </row>
    <row r="115" customFormat="false" ht="15" hidden="false" customHeight="false" outlineLevel="0" collapsed="false">
      <c r="A115" s="0" t="n">
        <v>2017</v>
      </c>
      <c r="B115" s="0" t="s">
        <v>107</v>
      </c>
      <c r="C115" s="0" t="s">
        <v>108</v>
      </c>
      <c r="D115" s="0" t="s">
        <v>72</v>
      </c>
      <c r="E115" s="0" t="n">
        <v>158206</v>
      </c>
      <c r="F115" s="0" t="n">
        <v>20540</v>
      </c>
      <c r="G115" s="0" t="n">
        <v>20135</v>
      </c>
      <c r="H115" s="0" t="n">
        <v>16741</v>
      </c>
    </row>
    <row r="116" customFormat="false" ht="15" hidden="false" customHeight="false" outlineLevel="0" collapsed="false">
      <c r="A116" s="0" t="n">
        <v>2017</v>
      </c>
      <c r="B116" s="0" t="s">
        <v>109</v>
      </c>
      <c r="C116" s="0" t="s">
        <v>110</v>
      </c>
      <c r="D116" s="0" t="s">
        <v>74</v>
      </c>
      <c r="E116" s="0" t="n">
        <v>264493</v>
      </c>
      <c r="F116" s="0" t="n">
        <v>16082</v>
      </c>
      <c r="G116" s="0" t="n">
        <v>16984</v>
      </c>
      <c r="H116" s="0" t="n">
        <v>13733</v>
      </c>
    </row>
    <row r="117" customFormat="false" ht="15" hidden="false" customHeight="false" outlineLevel="0" collapsed="false">
      <c r="A117" s="0" t="n">
        <v>2017</v>
      </c>
      <c r="B117" s="0" t="s">
        <v>112</v>
      </c>
      <c r="C117" s="0" t="s">
        <v>113</v>
      </c>
      <c r="D117" s="0" t="s">
        <v>74</v>
      </c>
      <c r="E117" s="0" t="n">
        <v>805856</v>
      </c>
      <c r="F117" s="0" t="n">
        <v>17815</v>
      </c>
      <c r="G117" s="0" t="n">
        <v>17404</v>
      </c>
      <c r="H117" s="0" t="n">
        <v>16574</v>
      </c>
    </row>
    <row r="118" customFormat="false" ht="15" hidden="false" customHeight="false" outlineLevel="0" collapsed="false">
      <c r="A118" s="0" t="n">
        <v>2017</v>
      </c>
      <c r="B118" s="0" t="s">
        <v>122</v>
      </c>
      <c r="C118" s="0" t="s">
        <v>123</v>
      </c>
      <c r="D118" s="0" t="s">
        <v>72</v>
      </c>
      <c r="E118" s="0" t="n">
        <v>786457</v>
      </c>
      <c r="F118" s="0" t="n">
        <v>23050</v>
      </c>
      <c r="G118" s="0" t="n">
        <v>22818</v>
      </c>
      <c r="H118" s="0" t="n">
        <v>17571</v>
      </c>
    </row>
    <row r="119" customFormat="false" ht="15" hidden="false" customHeight="false" outlineLevel="0" collapsed="false">
      <c r="A119" s="0" t="n">
        <v>2017</v>
      </c>
      <c r="B119" s="0" t="s">
        <v>125</v>
      </c>
      <c r="C119" s="0" t="s">
        <v>126</v>
      </c>
      <c r="D119" s="0" t="s">
        <v>72</v>
      </c>
      <c r="E119" s="0" t="n">
        <v>135845</v>
      </c>
      <c r="F119" s="0" t="n">
        <v>21532</v>
      </c>
      <c r="G119" s="0" t="n">
        <v>21621</v>
      </c>
      <c r="H119" s="0" t="n">
        <v>17429</v>
      </c>
    </row>
    <row r="120" customFormat="false" ht="15" hidden="false" customHeight="false" outlineLevel="0" collapsed="false">
      <c r="A120" s="0" t="n">
        <v>2017</v>
      </c>
      <c r="B120" s="0" t="s">
        <v>117</v>
      </c>
      <c r="C120" s="0" t="s">
        <v>118</v>
      </c>
      <c r="D120" s="0" t="s">
        <v>72</v>
      </c>
      <c r="E120" s="0" t="n">
        <v>161508</v>
      </c>
      <c r="F120" s="0" t="n">
        <v>21356</v>
      </c>
      <c r="G120" s="0" t="n">
        <v>20932</v>
      </c>
      <c r="H120" s="0" t="n">
        <v>16253</v>
      </c>
    </row>
    <row r="121" customFormat="false" ht="15" hidden="false" customHeight="false" outlineLevel="0" collapsed="false">
      <c r="A121" s="0" t="n">
        <v>2017</v>
      </c>
      <c r="B121" s="0" t="s">
        <v>120</v>
      </c>
      <c r="C121" s="0" t="s">
        <v>121</v>
      </c>
      <c r="D121" s="0" t="s">
        <v>74</v>
      </c>
      <c r="E121" s="0" t="n">
        <v>178371</v>
      </c>
      <c r="F121" s="0" t="n">
        <v>15572</v>
      </c>
      <c r="G121" s="0" t="n">
        <v>16555</v>
      </c>
      <c r="H121" s="0" t="n">
        <v>13545</v>
      </c>
    </row>
    <row r="122" customFormat="false" ht="15" hidden="false" customHeight="false" outlineLevel="0" collapsed="false">
      <c r="A122" s="0" t="n">
        <v>2017</v>
      </c>
      <c r="B122" s="0" t="s">
        <v>127</v>
      </c>
      <c r="C122" s="0" t="s">
        <v>128</v>
      </c>
      <c r="D122" s="0" t="s">
        <v>72</v>
      </c>
      <c r="E122" s="0" t="n">
        <v>775666</v>
      </c>
      <c r="F122" s="0" t="n">
        <v>25629</v>
      </c>
      <c r="G122" s="0" t="n">
        <v>23965</v>
      </c>
      <c r="H122" s="0" t="n">
        <v>20034</v>
      </c>
    </row>
    <row r="123" customFormat="false" ht="15" hidden="false" customHeight="false" outlineLevel="0" collapsed="false">
      <c r="A123" s="0" t="n">
        <v>2017</v>
      </c>
      <c r="B123" s="0" t="s">
        <v>135</v>
      </c>
      <c r="C123" s="0" t="s">
        <v>136</v>
      </c>
      <c r="D123" s="0" t="s">
        <v>74</v>
      </c>
      <c r="E123" s="0" t="n">
        <v>258500</v>
      </c>
      <c r="F123" s="0" t="n">
        <v>15916</v>
      </c>
      <c r="G123" s="0" t="n">
        <v>15439</v>
      </c>
      <c r="H123" s="0" t="n">
        <v>15174</v>
      </c>
    </row>
    <row r="124" customFormat="false" ht="15" hidden="false" customHeight="false" outlineLevel="0" collapsed="false">
      <c r="A124" s="0" t="n">
        <v>2017</v>
      </c>
      <c r="B124" s="0" t="s">
        <v>133</v>
      </c>
      <c r="C124" s="0" t="s">
        <v>134</v>
      </c>
      <c r="D124" s="0" t="s">
        <v>72</v>
      </c>
      <c r="E124" s="0" t="n">
        <v>888226</v>
      </c>
      <c r="F124" s="0" t="n">
        <v>22235</v>
      </c>
      <c r="G124" s="0" t="n">
        <v>21797</v>
      </c>
      <c r="H124" s="0" t="n">
        <v>16791</v>
      </c>
    </row>
    <row r="125" customFormat="false" ht="15" hidden="false" customHeight="false" outlineLevel="0" collapsed="false">
      <c r="A125" s="0" t="n">
        <v>2017</v>
      </c>
      <c r="B125" s="0" t="s">
        <v>115</v>
      </c>
      <c r="C125" s="0" t="s">
        <v>116</v>
      </c>
      <c r="D125" s="0" t="s">
        <v>74</v>
      </c>
      <c r="E125" s="0" t="n">
        <v>233701</v>
      </c>
      <c r="F125" s="0" t="n">
        <v>14917</v>
      </c>
      <c r="G125" s="0" t="n">
        <v>14565</v>
      </c>
      <c r="H125" s="0" t="n">
        <v>14291</v>
      </c>
    </row>
    <row r="126" customFormat="false" ht="15" hidden="false" customHeight="false" outlineLevel="0" collapsed="false">
      <c r="A126" s="0" t="n">
        <v>2017</v>
      </c>
      <c r="B126" s="0" t="s">
        <v>130</v>
      </c>
      <c r="C126" s="0" t="s">
        <v>131</v>
      </c>
      <c r="D126" s="0" t="s">
        <v>72</v>
      </c>
      <c r="E126" s="0" t="n">
        <v>428756</v>
      </c>
      <c r="F126" s="0" t="n">
        <v>24036</v>
      </c>
      <c r="G126" s="0" t="n">
        <v>21199</v>
      </c>
      <c r="H126" s="0" t="n">
        <v>17605</v>
      </c>
    </row>
    <row r="127" customFormat="false" ht="15" hidden="false" customHeight="false" outlineLevel="0" collapsed="false">
      <c r="A127" s="0" t="n">
        <v>2017</v>
      </c>
      <c r="B127" s="0" t="s">
        <v>137</v>
      </c>
      <c r="C127" s="0" t="s">
        <v>138</v>
      </c>
      <c r="D127" s="0" t="s">
        <v>75</v>
      </c>
      <c r="E127" s="0" t="n">
        <v>274605</v>
      </c>
      <c r="F127" s="0" t="n">
        <v>21395</v>
      </c>
      <c r="G127" s="0" t="n">
        <v>20000</v>
      </c>
      <c r="H127" s="0" t="n">
        <v>19951</v>
      </c>
    </row>
    <row r="128" customFormat="false" ht="15" hidden="false" customHeight="false" outlineLevel="0" collapsed="false">
      <c r="A128" s="0" t="n">
        <v>2017</v>
      </c>
      <c r="B128" s="0" t="s">
        <v>142</v>
      </c>
      <c r="C128" s="0" t="s">
        <v>143</v>
      </c>
      <c r="D128" s="0" t="s">
        <v>74</v>
      </c>
      <c r="E128" s="0" t="n">
        <v>152182</v>
      </c>
      <c r="F128" s="0" t="n">
        <v>16169</v>
      </c>
      <c r="G128" s="0" t="n">
        <v>17398</v>
      </c>
      <c r="H128" s="0" t="n">
        <v>13790</v>
      </c>
    </row>
    <row r="129" customFormat="false" ht="15" hidden="false" customHeight="false" outlineLevel="0" collapsed="false">
      <c r="A129" s="0" t="n">
        <v>2017</v>
      </c>
      <c r="B129" s="0" t="s">
        <v>145</v>
      </c>
      <c r="C129" s="0" t="s">
        <v>146</v>
      </c>
      <c r="D129" s="0" t="s">
        <v>74</v>
      </c>
      <c r="E129" s="0" t="n">
        <v>499953</v>
      </c>
      <c r="F129" s="0" t="n">
        <v>16507</v>
      </c>
      <c r="G129" s="0" t="n">
        <v>16347</v>
      </c>
      <c r="H129" s="0" t="n">
        <v>15338</v>
      </c>
    </row>
    <row r="130" customFormat="false" ht="15" hidden="false" customHeight="false" outlineLevel="0" collapsed="false">
      <c r="A130" s="0" t="n">
        <v>2017</v>
      </c>
      <c r="B130" s="0" t="s">
        <v>152</v>
      </c>
      <c r="C130" s="0" t="s">
        <v>153</v>
      </c>
      <c r="D130" s="0" t="s">
        <v>74</v>
      </c>
      <c r="E130" s="0" t="n">
        <v>269090</v>
      </c>
      <c r="F130" s="0" t="n">
        <v>17433</v>
      </c>
      <c r="G130" s="0" t="n">
        <v>18473</v>
      </c>
      <c r="H130" s="0" t="n">
        <v>14440</v>
      </c>
    </row>
    <row r="131" customFormat="false" ht="15" hidden="false" customHeight="false" outlineLevel="0" collapsed="false">
      <c r="A131" s="0" t="n">
        <v>2017</v>
      </c>
      <c r="B131" s="0" t="s">
        <v>140</v>
      </c>
      <c r="C131" s="0" t="s">
        <v>141</v>
      </c>
      <c r="D131" s="0" t="s">
        <v>75</v>
      </c>
      <c r="E131" s="0" t="n">
        <v>152174</v>
      </c>
      <c r="F131" s="0" t="n">
        <v>15166</v>
      </c>
      <c r="G131" s="0" t="n">
        <v>16493</v>
      </c>
      <c r="H131" s="0" t="n">
        <v>13882</v>
      </c>
    </row>
    <row r="132" customFormat="false" ht="15" hidden="false" customHeight="false" outlineLevel="0" collapsed="false">
      <c r="A132" s="0" t="n">
        <v>2017</v>
      </c>
      <c r="B132" s="0" t="s">
        <v>163</v>
      </c>
      <c r="C132" s="0" t="s">
        <v>164</v>
      </c>
      <c r="D132" s="0" t="s">
        <v>72</v>
      </c>
      <c r="E132" s="0" t="n">
        <v>441375</v>
      </c>
      <c r="F132" s="0" t="n">
        <v>21192</v>
      </c>
      <c r="G132" s="0" t="n">
        <v>20469</v>
      </c>
      <c r="H132" s="0" t="n">
        <v>16587</v>
      </c>
    </row>
    <row r="133" customFormat="false" ht="15" hidden="false" customHeight="false" outlineLevel="0" collapsed="false">
      <c r="A133" s="0" t="n">
        <v>2017</v>
      </c>
      <c r="B133" s="0" t="s">
        <v>155</v>
      </c>
      <c r="C133" s="0" t="s">
        <v>156</v>
      </c>
      <c r="D133" s="0" t="s">
        <v>72</v>
      </c>
      <c r="E133" s="0" t="n">
        <v>424216</v>
      </c>
      <c r="F133" s="0" t="n">
        <v>23339</v>
      </c>
      <c r="G133" s="0" t="n">
        <v>23478</v>
      </c>
      <c r="H133" s="0" t="n">
        <v>17545</v>
      </c>
    </row>
    <row r="134" customFormat="false" ht="15" hidden="false" customHeight="false" outlineLevel="0" collapsed="false">
      <c r="A134" s="0" t="n">
        <v>2017</v>
      </c>
      <c r="B134" s="0" t="s">
        <v>159</v>
      </c>
      <c r="C134" s="0" t="s">
        <v>160</v>
      </c>
      <c r="D134" s="0" t="s">
        <v>72</v>
      </c>
      <c r="E134" s="0" t="n">
        <v>262075</v>
      </c>
      <c r="F134" s="0" t="n">
        <v>22546</v>
      </c>
      <c r="G134" s="0" t="n">
        <v>22306</v>
      </c>
      <c r="H134" s="0" t="n">
        <v>17571</v>
      </c>
    </row>
    <row r="135" customFormat="false" ht="15" hidden="false" customHeight="false" outlineLevel="0" collapsed="false">
      <c r="A135" s="0" t="n">
        <v>2017</v>
      </c>
      <c r="B135" s="0" t="s">
        <v>157</v>
      </c>
      <c r="C135" s="0" t="s">
        <v>158</v>
      </c>
      <c r="D135" s="0" t="s">
        <v>74</v>
      </c>
      <c r="E135" s="0" t="n">
        <v>437990</v>
      </c>
      <c r="F135" s="0" t="n">
        <v>14737</v>
      </c>
      <c r="G135" s="0" t="n">
        <v>14388</v>
      </c>
      <c r="H135" s="0" t="n">
        <v>13995</v>
      </c>
    </row>
    <row r="136" customFormat="false" ht="15" hidden="false" customHeight="false" outlineLevel="0" collapsed="false">
      <c r="A136" s="0" t="n">
        <v>2017</v>
      </c>
      <c r="B136" s="0" t="s">
        <v>147</v>
      </c>
      <c r="C136" s="0" t="s">
        <v>148</v>
      </c>
      <c r="D136" s="0" t="s">
        <v>75</v>
      </c>
      <c r="E136" s="0" t="n">
        <v>603666</v>
      </c>
      <c r="F136" s="0" t="n">
        <v>17093</v>
      </c>
      <c r="G136" s="0" t="n">
        <v>17060</v>
      </c>
      <c r="H136" s="0" t="n">
        <v>15638</v>
      </c>
    </row>
    <row r="137" customFormat="false" ht="15" hidden="false" customHeight="false" outlineLevel="0" collapsed="false">
      <c r="A137" s="0" t="n">
        <v>2017</v>
      </c>
      <c r="B137" s="0" t="s">
        <v>149</v>
      </c>
      <c r="C137" s="0" t="s">
        <v>150</v>
      </c>
      <c r="D137" s="0" t="s">
        <v>74</v>
      </c>
      <c r="E137" s="0" t="n">
        <v>218258</v>
      </c>
      <c r="F137" s="0" t="n">
        <v>16087</v>
      </c>
      <c r="G137" s="0" t="n">
        <v>16099</v>
      </c>
      <c r="H137" s="0" t="n">
        <v>14601</v>
      </c>
    </row>
    <row r="138" customFormat="false" ht="15" hidden="false" customHeight="false" outlineLevel="0" collapsed="false">
      <c r="A138" s="0" t="n">
        <v>2017</v>
      </c>
      <c r="B138" s="0" t="s">
        <v>165</v>
      </c>
      <c r="C138" s="0" t="s">
        <v>166</v>
      </c>
      <c r="D138" s="0" t="s">
        <v>75</v>
      </c>
      <c r="E138" s="0" t="n">
        <v>99399</v>
      </c>
      <c r="F138" s="0" t="n">
        <v>14564</v>
      </c>
      <c r="G138" s="0" t="n">
        <v>16161</v>
      </c>
      <c r="H138" s="0" t="n">
        <v>12740</v>
      </c>
    </row>
    <row r="139" customFormat="false" ht="15" hidden="false" customHeight="false" outlineLevel="0" collapsed="false">
      <c r="A139" s="0" t="n">
        <v>2017</v>
      </c>
      <c r="B139" s="0" t="s">
        <v>175</v>
      </c>
      <c r="C139" s="0" t="s">
        <v>176</v>
      </c>
      <c r="D139" s="0" t="s">
        <v>72</v>
      </c>
      <c r="E139" s="0" t="n">
        <v>304562</v>
      </c>
      <c r="F139" s="0" t="n">
        <v>20925</v>
      </c>
      <c r="G139" s="0" t="n">
        <v>19659</v>
      </c>
      <c r="H139" s="0" t="n">
        <v>16464</v>
      </c>
    </row>
    <row r="140" customFormat="false" ht="15" hidden="false" customHeight="false" outlineLevel="0" collapsed="false">
      <c r="A140" s="0" t="n">
        <v>2017</v>
      </c>
      <c r="B140" s="0" t="s">
        <v>169</v>
      </c>
      <c r="C140" s="0" t="s">
        <v>170</v>
      </c>
      <c r="D140" s="0" t="s">
        <v>72</v>
      </c>
      <c r="E140" s="0" t="n">
        <v>274814</v>
      </c>
      <c r="F140" s="0" t="n">
        <v>21050</v>
      </c>
      <c r="G140" s="0" t="n">
        <v>20002</v>
      </c>
      <c r="H140" s="0" t="n">
        <v>17191</v>
      </c>
    </row>
    <row r="141" customFormat="false" ht="15" hidden="false" customHeight="false" outlineLevel="0" collapsed="false">
      <c r="A141" s="0" t="n">
        <v>2017</v>
      </c>
      <c r="B141" s="0" t="s">
        <v>173</v>
      </c>
      <c r="C141" s="0" t="s">
        <v>174</v>
      </c>
      <c r="D141" s="0" t="s">
        <v>74</v>
      </c>
      <c r="E141" s="0" t="n">
        <v>390702</v>
      </c>
      <c r="F141" s="0" t="n">
        <v>14999</v>
      </c>
      <c r="G141" s="0" t="n">
        <v>14676</v>
      </c>
      <c r="H141" s="0" t="n">
        <v>14419</v>
      </c>
    </row>
    <row r="142" customFormat="false" ht="15" hidden="false" customHeight="false" outlineLevel="0" collapsed="false">
      <c r="A142" s="0" t="n">
        <v>2017</v>
      </c>
      <c r="B142" s="0" t="s">
        <v>171</v>
      </c>
      <c r="C142" s="0" t="s">
        <v>172</v>
      </c>
      <c r="D142" s="0" t="s">
        <v>73</v>
      </c>
      <c r="E142" s="0" t="n">
        <v>746456</v>
      </c>
      <c r="F142" s="0" t="n">
        <v>23772</v>
      </c>
      <c r="G142" s="0" t="n">
        <v>21635</v>
      </c>
      <c r="H142" s="0" t="n">
        <v>18894</v>
      </c>
    </row>
    <row r="143" customFormat="false" ht="15" hidden="false" customHeight="false" outlineLevel="0" collapsed="false">
      <c r="A143" s="0" t="n">
        <v>2017</v>
      </c>
      <c r="B143" s="0" t="s">
        <v>167</v>
      </c>
      <c r="C143" s="0" t="s">
        <v>168</v>
      </c>
      <c r="D143" s="0" t="s">
        <v>73</v>
      </c>
      <c r="E143" s="0" t="n">
        <v>125795</v>
      </c>
      <c r="F143" s="0" t="n">
        <v>18293</v>
      </c>
      <c r="G143" s="0" t="n">
        <v>17358</v>
      </c>
      <c r="H143" s="0" t="n">
        <v>14020</v>
      </c>
    </row>
    <row r="144" customFormat="false" ht="15" hidden="false" customHeight="false" outlineLevel="0" collapsed="false">
      <c r="A144" s="0" t="n">
        <v>2017</v>
      </c>
      <c r="B144" s="0" t="s">
        <v>177</v>
      </c>
      <c r="C144" s="0" t="s">
        <v>178</v>
      </c>
      <c r="D144" s="0" t="s">
        <v>73</v>
      </c>
      <c r="E144" s="0" t="n">
        <v>313137</v>
      </c>
      <c r="F144" s="0" t="n">
        <v>17583</v>
      </c>
      <c r="G144" s="0" t="n">
        <v>18308</v>
      </c>
      <c r="H144" s="0" t="n">
        <v>15294</v>
      </c>
    </row>
    <row r="145" customFormat="false" ht="15" hidden="false" customHeight="false" outlineLevel="0" collapsed="false">
      <c r="A145" s="0" t="n">
        <v>2017</v>
      </c>
      <c r="B145" s="0" t="s">
        <v>180</v>
      </c>
      <c r="C145" s="0" t="s">
        <v>181</v>
      </c>
      <c r="D145" s="0" t="s">
        <v>72</v>
      </c>
      <c r="E145" s="0" t="n">
        <v>658907</v>
      </c>
      <c r="F145" s="0" t="n">
        <v>23498</v>
      </c>
      <c r="G145" s="0" t="n">
        <v>21711</v>
      </c>
      <c r="H145" s="0" t="n">
        <v>19899</v>
      </c>
    </row>
    <row r="146" customFormat="false" ht="15" hidden="false" customHeight="false" outlineLevel="0" collapsed="false">
      <c r="A146" s="0" t="n">
        <v>2017</v>
      </c>
      <c r="B146" s="0" t="s">
        <v>183</v>
      </c>
      <c r="C146" s="0" t="s">
        <v>184</v>
      </c>
      <c r="D146" s="0" t="s">
        <v>72</v>
      </c>
      <c r="E146" s="0" t="n">
        <v>109827</v>
      </c>
      <c r="F146" s="0" t="n">
        <v>20875</v>
      </c>
      <c r="G146" s="0" t="n">
        <v>20082</v>
      </c>
      <c r="H146" s="0" t="n">
        <v>18254</v>
      </c>
    </row>
    <row r="147" customFormat="false" ht="15" hidden="false" customHeight="false" outlineLevel="0" collapsed="false">
      <c r="A147" s="0" t="n">
        <v>2017</v>
      </c>
      <c r="B147" s="0" t="s">
        <v>186</v>
      </c>
      <c r="C147" s="0" t="s">
        <v>187</v>
      </c>
      <c r="D147" s="0" t="s">
        <v>73</v>
      </c>
      <c r="E147" s="0" t="n">
        <v>165287</v>
      </c>
      <c r="F147" s="0" t="n">
        <v>19193</v>
      </c>
      <c r="G147" s="0" t="n">
        <v>17833</v>
      </c>
      <c r="H147" s="0" t="n">
        <v>17116</v>
      </c>
    </row>
    <row r="148" customFormat="false" ht="15" hidden="false" customHeight="false" outlineLevel="0" collapsed="false">
      <c r="A148" s="0" t="n">
        <v>2017</v>
      </c>
      <c r="B148" s="0" t="s">
        <v>188</v>
      </c>
      <c r="C148" s="0" t="s">
        <v>189</v>
      </c>
      <c r="D148" s="0" t="s">
        <v>72</v>
      </c>
      <c r="E148" s="0" t="n">
        <v>153284</v>
      </c>
      <c r="F148" s="0" t="n">
        <v>19130</v>
      </c>
      <c r="G148" s="0" t="n">
        <v>17432</v>
      </c>
      <c r="H148" s="0" t="n">
        <v>15889</v>
      </c>
    </row>
    <row r="149" customFormat="false" ht="15" hidden="false" customHeight="false" outlineLevel="0" collapsed="false">
      <c r="A149" s="0" t="n">
        <v>2017</v>
      </c>
      <c r="B149" s="0" t="s">
        <v>190</v>
      </c>
      <c r="C149" s="0" t="s">
        <v>191</v>
      </c>
      <c r="D149" s="0" t="s">
        <v>74</v>
      </c>
      <c r="E149" s="0" t="n">
        <v>59834</v>
      </c>
      <c r="F149" s="0" t="n">
        <v>15950</v>
      </c>
      <c r="G149" s="0" t="n">
        <v>17339</v>
      </c>
      <c r="H149" s="0" t="n">
        <v>13633</v>
      </c>
    </row>
    <row r="150" customFormat="false" ht="15" hidden="false" customHeight="false" outlineLevel="0" collapsed="false">
      <c r="A150" s="0" t="n">
        <v>2017</v>
      </c>
      <c r="B150" s="0" t="s">
        <v>161</v>
      </c>
      <c r="C150" s="0" t="s">
        <v>162</v>
      </c>
      <c r="D150" s="0" t="s">
        <v>74</v>
      </c>
      <c r="E150" s="0" t="n">
        <v>95572</v>
      </c>
      <c r="F150" s="0" t="n">
        <v>14064</v>
      </c>
      <c r="G150" s="0" t="n">
        <v>13710</v>
      </c>
      <c r="H150" s="0" t="n">
        <v>13230</v>
      </c>
    </row>
    <row r="151" customFormat="false" ht="15" hidden="false" customHeight="false" outlineLevel="0" collapsed="false">
      <c r="A151" s="0" t="n">
        <v>2017</v>
      </c>
      <c r="B151" s="0" t="s">
        <v>200</v>
      </c>
      <c r="C151" s="0" t="s">
        <v>201</v>
      </c>
      <c r="D151" s="0" t="s">
        <v>72</v>
      </c>
      <c r="E151" s="0" t="n">
        <v>247581</v>
      </c>
      <c r="F151" s="0" t="n">
        <v>24957</v>
      </c>
      <c r="G151" s="0" t="n">
        <v>24581</v>
      </c>
      <c r="H151" s="0" t="n">
        <v>18574</v>
      </c>
    </row>
    <row r="152" customFormat="false" ht="15" hidden="false" customHeight="false" outlineLevel="0" collapsed="false">
      <c r="A152" s="0" t="n">
        <v>2017</v>
      </c>
      <c r="B152" s="0" t="s">
        <v>198</v>
      </c>
      <c r="C152" s="0" t="s">
        <v>199</v>
      </c>
      <c r="D152" s="0" t="s">
        <v>74</v>
      </c>
      <c r="E152" s="0" t="n">
        <v>520053</v>
      </c>
      <c r="F152" s="0" t="n">
        <v>15591</v>
      </c>
      <c r="G152" s="0" t="n">
        <v>15323</v>
      </c>
      <c r="H152" s="0" t="n">
        <v>14280</v>
      </c>
    </row>
    <row r="153" customFormat="false" ht="15" hidden="false" customHeight="false" outlineLevel="0" collapsed="false">
      <c r="A153" s="0" t="n">
        <v>2017</v>
      </c>
      <c r="B153" s="0" t="s">
        <v>202</v>
      </c>
      <c r="C153" s="0" t="s">
        <v>203</v>
      </c>
      <c r="D153" s="0" t="s">
        <v>73</v>
      </c>
      <c r="E153" s="0" t="n">
        <v>242917</v>
      </c>
      <c r="F153" s="0" t="n">
        <v>21490</v>
      </c>
      <c r="G153" s="0" t="n">
        <v>19910</v>
      </c>
      <c r="H153" s="0" t="n">
        <v>19119</v>
      </c>
    </row>
    <row r="154" customFormat="false" ht="15" hidden="false" customHeight="false" outlineLevel="0" collapsed="false">
      <c r="A154" s="0" t="n">
        <v>2017</v>
      </c>
      <c r="B154" s="0" t="s">
        <v>204</v>
      </c>
      <c r="C154" s="0" t="s">
        <v>205</v>
      </c>
      <c r="D154" s="0" t="s">
        <v>72</v>
      </c>
      <c r="E154" s="0" t="n">
        <v>163642</v>
      </c>
      <c r="F154" s="0" t="n">
        <v>23107</v>
      </c>
      <c r="G154" s="0" t="n">
        <v>22992</v>
      </c>
      <c r="H154" s="0" t="n">
        <v>18550</v>
      </c>
    </row>
    <row r="155" customFormat="false" ht="15" hidden="false" customHeight="false" outlineLevel="0" collapsed="false">
      <c r="A155" s="0" t="n">
        <v>2017</v>
      </c>
      <c r="B155" s="0" t="s">
        <v>196</v>
      </c>
      <c r="C155" s="0" t="s">
        <v>197</v>
      </c>
      <c r="D155" s="0" t="s">
        <v>73</v>
      </c>
      <c r="E155" s="0" t="n">
        <v>377904</v>
      </c>
      <c r="F155" s="0" t="n">
        <v>17727</v>
      </c>
      <c r="G155" s="0" t="n">
        <v>17415</v>
      </c>
      <c r="H155" s="0" t="n">
        <v>16293</v>
      </c>
    </row>
    <row r="156" customFormat="false" ht="15" hidden="false" customHeight="false" outlineLevel="0" collapsed="false">
      <c r="A156" s="0" t="n">
        <v>2017</v>
      </c>
      <c r="B156" s="0" t="s">
        <v>206</v>
      </c>
      <c r="C156" s="0" t="s">
        <v>207</v>
      </c>
      <c r="D156" s="0" t="s">
        <v>73</v>
      </c>
      <c r="E156" s="0" t="n">
        <v>280235</v>
      </c>
      <c r="F156" s="0" t="n">
        <v>21357</v>
      </c>
      <c r="G156" s="0" t="n">
        <v>20345</v>
      </c>
      <c r="H156" s="0" t="n">
        <v>16853</v>
      </c>
    </row>
    <row r="157" customFormat="false" ht="15" hidden="false" customHeight="false" outlineLevel="0" collapsed="false">
      <c r="A157" s="0" t="n">
        <v>2017</v>
      </c>
      <c r="B157" s="0" t="s">
        <v>222</v>
      </c>
      <c r="C157" s="0" t="s">
        <v>223</v>
      </c>
      <c r="D157" s="0" t="s">
        <v>72</v>
      </c>
      <c r="E157" s="0" t="n">
        <v>627313</v>
      </c>
      <c r="F157" s="0" t="n">
        <v>25468</v>
      </c>
      <c r="G157" s="0" t="n">
        <v>25549</v>
      </c>
      <c r="H157" s="0" t="n">
        <v>19237</v>
      </c>
    </row>
    <row r="158" customFormat="false" ht="15" hidden="false" customHeight="false" outlineLevel="0" collapsed="false">
      <c r="A158" s="0" t="n">
        <v>2017</v>
      </c>
      <c r="B158" s="0" t="s">
        <v>208</v>
      </c>
      <c r="C158" s="0" t="s">
        <v>209</v>
      </c>
      <c r="D158" s="0" t="s">
        <v>73</v>
      </c>
      <c r="E158" s="0" t="n">
        <v>232308</v>
      </c>
      <c r="F158" s="0" t="n">
        <v>19271</v>
      </c>
      <c r="G158" s="0" t="n">
        <v>18192</v>
      </c>
      <c r="H158" s="0" t="n">
        <v>15578</v>
      </c>
    </row>
    <row r="159" customFormat="false" ht="15" hidden="false" customHeight="false" outlineLevel="0" collapsed="false">
      <c r="A159" s="0" t="n">
        <v>2017</v>
      </c>
      <c r="B159" s="0" t="s">
        <v>217</v>
      </c>
      <c r="C159" s="0" t="s">
        <v>218</v>
      </c>
      <c r="D159" s="0" t="s">
        <v>75</v>
      </c>
      <c r="E159" s="0" t="n">
        <v>391121</v>
      </c>
      <c r="F159" s="0" t="n">
        <v>17091</v>
      </c>
      <c r="G159" s="0" t="n">
        <v>16713</v>
      </c>
      <c r="H159" s="0" t="n">
        <v>15893</v>
      </c>
    </row>
    <row r="160" customFormat="false" ht="15" hidden="false" customHeight="false" outlineLevel="0" collapsed="false">
      <c r="A160" s="0" t="n">
        <v>2017</v>
      </c>
      <c r="B160" s="0" t="s">
        <v>219</v>
      </c>
      <c r="C160" s="0" t="s">
        <v>50</v>
      </c>
      <c r="D160" s="0" t="s">
        <v>72</v>
      </c>
      <c r="E160" s="0" t="n">
        <v>2353693</v>
      </c>
      <c r="F160" s="0" t="n">
        <v>28867</v>
      </c>
      <c r="G160" s="0" t="n">
        <v>27917</v>
      </c>
      <c r="H160" s="0" t="n">
        <v>21371</v>
      </c>
    </row>
    <row r="161" customFormat="false" ht="15" hidden="false" customHeight="false" outlineLevel="0" collapsed="false">
      <c r="A161" s="0" t="n">
        <v>2017</v>
      </c>
      <c r="B161" s="0" t="s">
        <v>210</v>
      </c>
      <c r="C161" s="0" t="s">
        <v>211</v>
      </c>
      <c r="D161" s="0" t="s">
        <v>72</v>
      </c>
      <c r="E161" s="0" t="n">
        <v>299174</v>
      </c>
      <c r="F161" s="0" t="n">
        <v>21525</v>
      </c>
      <c r="G161" s="0" t="n">
        <v>21110</v>
      </c>
      <c r="H161" s="0" t="n">
        <v>16626</v>
      </c>
    </row>
    <row r="162" customFormat="false" ht="15" hidden="false" customHeight="false" outlineLevel="0" collapsed="false">
      <c r="A162" s="0" t="n">
        <v>2017</v>
      </c>
      <c r="B162" s="0" t="s">
        <v>220</v>
      </c>
      <c r="C162" s="0" t="s">
        <v>221</v>
      </c>
      <c r="D162" s="0" t="s">
        <v>72</v>
      </c>
      <c r="E162" s="0" t="n">
        <v>524616</v>
      </c>
      <c r="F162" s="0" t="n">
        <v>23876</v>
      </c>
      <c r="G162" s="0" t="n">
        <v>23000</v>
      </c>
      <c r="H162" s="0" t="n">
        <v>18093</v>
      </c>
    </row>
    <row r="163" customFormat="false" ht="15" hidden="false" customHeight="false" outlineLevel="0" collapsed="false">
      <c r="A163" s="0" t="n">
        <v>2017</v>
      </c>
      <c r="B163" s="0" t="s">
        <v>212</v>
      </c>
      <c r="C163" s="0" t="s">
        <v>213</v>
      </c>
      <c r="D163" s="0" t="s">
        <v>73</v>
      </c>
      <c r="E163" s="0" t="n">
        <v>137906</v>
      </c>
      <c r="F163" s="0" t="n">
        <v>20356</v>
      </c>
      <c r="G163" s="0" t="n">
        <v>19794</v>
      </c>
      <c r="H163" s="0" t="n">
        <v>17324</v>
      </c>
    </row>
    <row r="164" customFormat="false" ht="15" hidden="false" customHeight="false" outlineLevel="0" collapsed="false">
      <c r="A164" s="0" t="n">
        <v>2017</v>
      </c>
      <c r="B164" s="0" t="s">
        <v>214</v>
      </c>
      <c r="C164" s="0" t="s">
        <v>215</v>
      </c>
      <c r="D164" s="0" t="s">
        <v>74</v>
      </c>
      <c r="E164" s="0" t="n">
        <v>133360</v>
      </c>
      <c r="F164" s="0" t="n">
        <v>15869</v>
      </c>
      <c r="G164" s="0" t="n">
        <v>15600</v>
      </c>
      <c r="H164" s="0" t="n">
        <v>14926</v>
      </c>
    </row>
    <row r="165" customFormat="false" ht="15" hidden="false" customHeight="false" outlineLevel="0" collapsed="false">
      <c r="A165" s="0" t="n">
        <v>2017</v>
      </c>
      <c r="B165" s="0" t="s">
        <v>224</v>
      </c>
      <c r="C165" s="0" t="s">
        <v>51</v>
      </c>
      <c r="D165" s="0" t="s">
        <v>74</v>
      </c>
      <c r="E165" s="0" t="n">
        <v>1579040</v>
      </c>
      <c r="F165" s="0" t="n">
        <v>18461</v>
      </c>
      <c r="G165" s="0" t="n">
        <v>17646</v>
      </c>
      <c r="H165" s="0" t="n">
        <v>16989</v>
      </c>
    </row>
    <row r="166" customFormat="false" ht="15" hidden="false" customHeight="false" outlineLevel="0" collapsed="false">
      <c r="A166" s="0" t="n">
        <v>2017</v>
      </c>
      <c r="B166" s="0" t="s">
        <v>225</v>
      </c>
      <c r="C166" s="0" t="s">
        <v>226</v>
      </c>
      <c r="D166" s="0" t="s">
        <v>72</v>
      </c>
      <c r="E166" s="0" t="n">
        <v>266203</v>
      </c>
      <c r="F166" s="0" t="n">
        <v>23308</v>
      </c>
      <c r="G166" s="0" t="n">
        <v>22773</v>
      </c>
      <c r="H166" s="0" t="n">
        <v>18651</v>
      </c>
    </row>
    <row r="167" customFormat="false" ht="15" hidden="false" customHeight="false" outlineLevel="0" collapsed="false">
      <c r="A167" s="0" t="n">
        <v>2017</v>
      </c>
      <c r="B167" s="0" t="s">
        <v>227</v>
      </c>
      <c r="C167" s="0" t="s">
        <v>228</v>
      </c>
      <c r="D167" s="0" t="s">
        <v>75</v>
      </c>
      <c r="E167" s="0" t="n">
        <v>138042</v>
      </c>
      <c r="F167" s="0" t="n">
        <v>15843</v>
      </c>
      <c r="G167" s="0" t="n">
        <v>16024</v>
      </c>
      <c r="H167" s="0" t="n">
        <v>14373</v>
      </c>
    </row>
    <row r="168" customFormat="false" ht="15" hidden="false" customHeight="false" outlineLevel="0" collapsed="false">
      <c r="A168" s="0" t="n">
        <v>2017</v>
      </c>
      <c r="B168" s="0" t="s">
        <v>229</v>
      </c>
      <c r="C168" s="0" t="s">
        <v>230</v>
      </c>
      <c r="D168" s="0" t="s">
        <v>75</v>
      </c>
      <c r="E168" s="0" t="n">
        <v>104443</v>
      </c>
      <c r="F168" s="0" t="n">
        <v>15996</v>
      </c>
      <c r="G168" s="0" t="n">
        <v>16371</v>
      </c>
      <c r="H168" s="0" t="n">
        <v>14358</v>
      </c>
    </row>
    <row r="169" customFormat="false" ht="15" hidden="false" customHeight="false" outlineLevel="0" collapsed="false">
      <c r="A169" s="0" t="n">
        <v>2017</v>
      </c>
      <c r="B169" s="0" t="s">
        <v>233</v>
      </c>
      <c r="C169" s="0" t="s">
        <v>234</v>
      </c>
      <c r="D169" s="0" t="s">
        <v>75</v>
      </c>
      <c r="E169" s="0" t="n">
        <v>680574</v>
      </c>
      <c r="F169" s="0" t="n">
        <v>17981</v>
      </c>
      <c r="G169" s="0" t="n">
        <v>17757</v>
      </c>
      <c r="H169" s="0" t="n">
        <v>17001</v>
      </c>
    </row>
    <row r="170" customFormat="false" ht="15" hidden="false" customHeight="false" outlineLevel="0" collapsed="false">
      <c r="A170" s="0" t="n">
        <v>2017</v>
      </c>
      <c r="B170" s="0" t="s">
        <v>246</v>
      </c>
      <c r="C170" s="0" t="s">
        <v>247</v>
      </c>
      <c r="D170" s="0" t="s">
        <v>72</v>
      </c>
      <c r="E170" s="0" t="n">
        <v>216877</v>
      </c>
      <c r="F170" s="0" t="n">
        <v>22921</v>
      </c>
      <c r="G170" s="0" t="n">
        <v>22114</v>
      </c>
      <c r="H170" s="0" t="n">
        <v>17820</v>
      </c>
    </row>
    <row r="171" customFormat="false" ht="15" hidden="false" customHeight="false" outlineLevel="0" collapsed="false">
      <c r="A171" s="0" t="n">
        <v>2017</v>
      </c>
      <c r="B171" s="0" t="s">
        <v>231</v>
      </c>
      <c r="C171" s="0" t="s">
        <v>232</v>
      </c>
      <c r="D171" s="0" t="s">
        <v>72</v>
      </c>
      <c r="E171" s="0" t="n">
        <v>672438</v>
      </c>
      <c r="F171" s="0" t="n">
        <v>23188</v>
      </c>
      <c r="G171" s="0" t="n">
        <v>22141</v>
      </c>
      <c r="H171" s="0" t="n">
        <v>17568</v>
      </c>
    </row>
    <row r="172" customFormat="false" ht="15" hidden="false" customHeight="false" outlineLevel="0" collapsed="false">
      <c r="A172" s="0" t="n">
        <v>2017</v>
      </c>
      <c r="B172" s="0" t="s">
        <v>244</v>
      </c>
      <c r="C172" s="0" t="s">
        <v>245</v>
      </c>
      <c r="D172" s="0" t="s">
        <v>74</v>
      </c>
      <c r="E172" s="0" t="n">
        <v>215846</v>
      </c>
      <c r="F172" s="0" t="n">
        <v>18862</v>
      </c>
      <c r="G172" s="0" t="n">
        <v>18820</v>
      </c>
      <c r="H172" s="0" t="n">
        <v>16101</v>
      </c>
    </row>
    <row r="173" customFormat="false" ht="15" hidden="false" customHeight="false" outlineLevel="0" collapsed="false">
      <c r="A173" s="0" t="n">
        <v>2017</v>
      </c>
      <c r="B173" s="0" t="s">
        <v>239</v>
      </c>
      <c r="C173" s="0" t="s">
        <v>240</v>
      </c>
      <c r="D173" s="0" t="s">
        <v>73</v>
      </c>
      <c r="E173" s="0" t="n">
        <v>469546</v>
      </c>
      <c r="F173" s="0" t="n">
        <v>19911</v>
      </c>
      <c r="G173" s="0" t="n">
        <v>19278</v>
      </c>
      <c r="H173" s="0" t="n">
        <v>16777</v>
      </c>
    </row>
    <row r="174" customFormat="false" ht="15" hidden="false" customHeight="false" outlineLevel="0" collapsed="false">
      <c r="A174" s="0" t="n">
        <v>2017</v>
      </c>
      <c r="B174" s="0" t="s">
        <v>248</v>
      </c>
      <c r="C174" s="0" t="s">
        <v>249</v>
      </c>
      <c r="D174" s="0" t="s">
        <v>73</v>
      </c>
      <c r="E174" s="0" t="n">
        <v>301299</v>
      </c>
      <c r="F174" s="0" t="n">
        <v>22172</v>
      </c>
      <c r="G174" s="0" t="n">
        <v>21194</v>
      </c>
      <c r="H174" s="0" t="n">
        <v>18065</v>
      </c>
    </row>
    <row r="175" customFormat="false" ht="15" hidden="false" customHeight="false" outlineLevel="0" collapsed="false">
      <c r="A175" s="0" t="n">
        <v>2017</v>
      </c>
      <c r="B175" s="0" t="s">
        <v>252</v>
      </c>
      <c r="C175" s="0" t="s">
        <v>253</v>
      </c>
      <c r="D175" s="0" t="s">
        <v>72</v>
      </c>
      <c r="E175" s="0" t="n">
        <v>233956</v>
      </c>
      <c r="F175" s="0" t="n">
        <v>21946</v>
      </c>
      <c r="G175" s="0" t="n">
        <v>21372</v>
      </c>
      <c r="H175" s="0" t="n">
        <v>17131</v>
      </c>
    </row>
    <row r="176" customFormat="false" ht="15" hidden="false" customHeight="false" outlineLevel="0" collapsed="false">
      <c r="A176" s="0" t="n">
        <v>2017</v>
      </c>
      <c r="B176" s="0" t="s">
        <v>256</v>
      </c>
      <c r="C176" s="0" t="s">
        <v>257</v>
      </c>
      <c r="D176" s="0" t="s">
        <v>73</v>
      </c>
      <c r="E176" s="0" t="n">
        <v>195057</v>
      </c>
      <c r="F176" s="0" t="n">
        <v>20933</v>
      </c>
      <c r="G176" s="0" t="n">
        <v>18749</v>
      </c>
      <c r="H176" s="0" t="n">
        <v>16844</v>
      </c>
    </row>
    <row r="177" customFormat="false" ht="15" hidden="false" customHeight="false" outlineLevel="0" collapsed="false">
      <c r="A177" s="0" t="n">
        <v>2017</v>
      </c>
      <c r="B177" s="0" t="s">
        <v>235</v>
      </c>
      <c r="C177" s="0" t="s">
        <v>236</v>
      </c>
      <c r="D177" s="0" t="s">
        <v>72</v>
      </c>
      <c r="E177" s="0" t="n">
        <v>335081</v>
      </c>
      <c r="F177" s="0" t="n">
        <v>24817</v>
      </c>
      <c r="G177" s="0" t="n">
        <v>23621</v>
      </c>
      <c r="H177" s="0" t="n">
        <v>18810</v>
      </c>
    </row>
    <row r="178" customFormat="false" ht="15" hidden="false" customHeight="false" outlineLevel="0" collapsed="false">
      <c r="A178" s="0" t="n">
        <v>2017</v>
      </c>
      <c r="B178" s="0" t="s">
        <v>250</v>
      </c>
      <c r="C178" s="0" t="s">
        <v>251</v>
      </c>
      <c r="D178" s="0" t="s">
        <v>73</v>
      </c>
      <c r="E178" s="0" t="n">
        <v>208606</v>
      </c>
      <c r="F178" s="0" t="n">
        <v>19964</v>
      </c>
      <c r="G178" s="0" t="n">
        <v>19491</v>
      </c>
      <c r="H178" s="0" t="n">
        <v>16141</v>
      </c>
    </row>
    <row r="179" customFormat="false" ht="15" hidden="false" customHeight="false" outlineLevel="0" collapsed="false">
      <c r="A179" s="0" t="n">
        <v>2017</v>
      </c>
      <c r="B179" s="0" t="s">
        <v>242</v>
      </c>
      <c r="C179" s="0" t="s">
        <v>243</v>
      </c>
      <c r="D179" s="0" t="s">
        <v>73</v>
      </c>
      <c r="E179" s="0" t="n">
        <v>265612</v>
      </c>
      <c r="F179" s="0" t="n">
        <v>19862</v>
      </c>
      <c r="G179" s="0" t="n">
        <v>19173</v>
      </c>
      <c r="H179" s="0" t="n">
        <v>15780</v>
      </c>
    </row>
    <row r="180" customFormat="false" ht="15" hidden="false" customHeight="false" outlineLevel="0" collapsed="false">
      <c r="A180" s="0" t="n">
        <v>2017</v>
      </c>
      <c r="B180" s="0" t="s">
        <v>237</v>
      </c>
      <c r="C180" s="0" t="s">
        <v>238</v>
      </c>
      <c r="D180" s="0" t="s">
        <v>72</v>
      </c>
      <c r="E180" s="0" t="n">
        <v>398934</v>
      </c>
      <c r="F180" s="0" t="n">
        <v>22562</v>
      </c>
      <c r="G180" s="0" t="n">
        <v>22138</v>
      </c>
      <c r="H180" s="0" t="n">
        <v>17993</v>
      </c>
    </row>
    <row r="181" customFormat="false" ht="15" hidden="false" customHeight="false" outlineLevel="0" collapsed="false">
      <c r="A181" s="0" t="n">
        <v>2017</v>
      </c>
      <c r="B181" s="0" t="s">
        <v>254</v>
      </c>
      <c r="C181" s="0" t="s">
        <v>255</v>
      </c>
      <c r="D181" s="0" t="s">
        <v>74</v>
      </c>
      <c r="E181" s="0" t="n">
        <v>246489</v>
      </c>
      <c r="F181" s="0" t="n">
        <v>16261</v>
      </c>
      <c r="G181" s="0" t="n">
        <v>17155</v>
      </c>
      <c r="H181" s="0" t="n">
        <v>13726</v>
      </c>
    </row>
    <row r="182" customFormat="false" ht="15" hidden="false" customHeight="false" outlineLevel="0" collapsed="false">
      <c r="A182" s="0" t="n">
        <v>2017</v>
      </c>
      <c r="B182" s="0" t="s">
        <v>260</v>
      </c>
      <c r="C182" s="0" t="s">
        <v>261</v>
      </c>
      <c r="D182" s="0" t="s">
        <v>72</v>
      </c>
      <c r="E182" s="0" t="n">
        <v>305572</v>
      </c>
      <c r="F182" s="0" t="n">
        <v>21458</v>
      </c>
      <c r="G182" s="0" t="n">
        <v>20137</v>
      </c>
      <c r="H182" s="0" t="n">
        <v>17593</v>
      </c>
    </row>
    <row r="183" customFormat="false" ht="15" hidden="false" customHeight="false" outlineLevel="0" collapsed="false">
      <c r="A183" s="0" t="n">
        <v>2017</v>
      </c>
      <c r="B183" s="0" t="s">
        <v>262</v>
      </c>
      <c r="C183" s="0" t="s">
        <v>263</v>
      </c>
      <c r="D183" s="0" t="s">
        <v>74</v>
      </c>
      <c r="E183" s="0" t="n">
        <v>334471</v>
      </c>
      <c r="F183" s="0" t="n">
        <v>15423</v>
      </c>
      <c r="G183" s="0" t="n">
        <v>14635</v>
      </c>
      <c r="H183" s="0" t="n">
        <v>14778</v>
      </c>
    </row>
    <row r="184" customFormat="false" ht="15" hidden="false" customHeight="false" outlineLevel="0" collapsed="false">
      <c r="A184" s="0" t="n">
        <v>2017</v>
      </c>
      <c r="B184" s="0" t="s">
        <v>264</v>
      </c>
      <c r="C184" s="0" t="s">
        <v>265</v>
      </c>
      <c r="D184" s="0" t="s">
        <v>72</v>
      </c>
      <c r="E184" s="0" t="n">
        <v>385930</v>
      </c>
      <c r="F184" s="0" t="n">
        <v>23554</v>
      </c>
      <c r="G184" s="0" t="n">
        <v>22725</v>
      </c>
      <c r="H184" s="0" t="n">
        <v>18097</v>
      </c>
    </row>
    <row r="185" customFormat="false" ht="15" hidden="false" customHeight="false" outlineLevel="0" collapsed="false">
      <c r="A185" s="0" t="n">
        <v>2017</v>
      </c>
      <c r="B185" s="0" t="s">
        <v>258</v>
      </c>
      <c r="C185" s="0" t="s">
        <v>259</v>
      </c>
      <c r="D185" s="0" t="s">
        <v>75</v>
      </c>
      <c r="E185" s="0" t="n">
        <v>201283</v>
      </c>
      <c r="F185" s="0" t="n">
        <v>14638</v>
      </c>
      <c r="G185" s="0" t="n">
        <v>14296</v>
      </c>
      <c r="H185" s="0" t="n">
        <v>14167</v>
      </c>
    </row>
    <row r="186" customFormat="false" ht="15" hidden="false" customHeight="false" outlineLevel="0" collapsed="false">
      <c r="A186" s="0" t="n">
        <v>2017</v>
      </c>
      <c r="B186" s="0" t="s">
        <v>266</v>
      </c>
      <c r="C186" s="0" t="s">
        <v>267</v>
      </c>
      <c r="D186" s="0" t="s">
        <v>73</v>
      </c>
      <c r="E186" s="0" t="n">
        <v>105771</v>
      </c>
      <c r="F186" s="0" t="n">
        <v>18646</v>
      </c>
      <c r="G186" s="0" t="n">
        <v>18278</v>
      </c>
      <c r="H186" s="0" t="n">
        <v>17341</v>
      </c>
    </row>
    <row r="187" customFormat="false" ht="15" hidden="false" customHeight="false" outlineLevel="0" collapsed="false">
      <c r="A187" s="0" t="n">
        <v>2017</v>
      </c>
      <c r="B187" s="0" t="s">
        <v>270</v>
      </c>
      <c r="C187" s="0" t="s">
        <v>271</v>
      </c>
      <c r="D187" s="0" t="s">
        <v>73</v>
      </c>
      <c r="E187" s="0" t="n">
        <v>2882777</v>
      </c>
      <c r="F187" s="0" t="n">
        <v>24909</v>
      </c>
      <c r="G187" s="0" t="n">
        <v>23531</v>
      </c>
      <c r="H187" s="0" t="n">
        <v>21545</v>
      </c>
    </row>
    <row r="188" customFormat="false" ht="15" hidden="false" customHeight="false" outlineLevel="0" collapsed="false">
      <c r="A188" s="0" t="n">
        <v>2017</v>
      </c>
      <c r="B188" s="0" t="s">
        <v>268</v>
      </c>
      <c r="C188" s="0" t="s">
        <v>269</v>
      </c>
      <c r="D188" s="0" t="s">
        <v>72</v>
      </c>
      <c r="E188" s="0" t="n">
        <v>256085</v>
      </c>
      <c r="F188" s="0" t="n">
        <v>19533</v>
      </c>
      <c r="G188" s="0" t="n">
        <v>17736</v>
      </c>
      <c r="H188" s="0" t="n">
        <v>15633</v>
      </c>
    </row>
    <row r="189" customFormat="false" ht="15" hidden="false" customHeight="false" outlineLevel="0" collapsed="false">
      <c r="A189" s="0" t="n">
        <v>2017</v>
      </c>
      <c r="B189" s="0" t="s">
        <v>272</v>
      </c>
      <c r="C189" s="0" t="s">
        <v>273</v>
      </c>
      <c r="D189" s="0" t="s">
        <v>72</v>
      </c>
      <c r="E189" s="0" t="n">
        <v>181141</v>
      </c>
      <c r="F189" s="0" t="n">
        <v>19138</v>
      </c>
      <c r="G189" s="0" t="n">
        <v>18987</v>
      </c>
      <c r="H189" s="0" t="n">
        <v>15746</v>
      </c>
    </row>
    <row r="190" customFormat="false" ht="15" hidden="false" customHeight="false" outlineLevel="0" collapsed="false">
      <c r="A190" s="0" t="n">
        <v>2017</v>
      </c>
      <c r="B190" s="0" t="s">
        <v>274</v>
      </c>
      <c r="C190" s="0" t="s">
        <v>275</v>
      </c>
      <c r="D190" s="0" t="s">
        <v>74</v>
      </c>
      <c r="E190" s="0" t="n">
        <v>666855</v>
      </c>
      <c r="F190" s="0" t="n">
        <v>16342</v>
      </c>
      <c r="G190" s="0" t="n">
        <v>15979</v>
      </c>
      <c r="H190" s="0" t="n">
        <v>14581</v>
      </c>
    </row>
    <row r="191" customFormat="false" ht="15" hidden="false" customHeight="false" outlineLevel="0" collapsed="false">
      <c r="A191" s="0" t="n">
        <v>2017</v>
      </c>
      <c r="B191" s="0" t="s">
        <v>280</v>
      </c>
      <c r="C191" s="0" t="s">
        <v>281</v>
      </c>
      <c r="D191" s="0" t="s">
        <v>73</v>
      </c>
      <c r="E191" s="0" t="n">
        <v>202770</v>
      </c>
      <c r="F191" s="0" t="n">
        <v>21859</v>
      </c>
      <c r="G191" s="0" t="n">
        <v>20229</v>
      </c>
      <c r="H191" s="0" t="n">
        <v>18222</v>
      </c>
    </row>
    <row r="192" customFormat="false" ht="15" hidden="false" customHeight="false" outlineLevel="0" collapsed="false">
      <c r="A192" s="0" t="n">
        <v>2017</v>
      </c>
      <c r="B192" s="0" t="s">
        <v>284</v>
      </c>
      <c r="C192" s="0" t="s">
        <v>285</v>
      </c>
      <c r="D192" s="0" t="s">
        <v>72</v>
      </c>
      <c r="E192" s="0" t="n">
        <v>134596</v>
      </c>
      <c r="F192" s="0" t="n">
        <v>20331</v>
      </c>
      <c r="G192" s="0" t="n">
        <v>19997</v>
      </c>
      <c r="H192" s="0" t="n">
        <v>15675</v>
      </c>
    </row>
    <row r="193" customFormat="false" ht="15" hidden="false" customHeight="false" outlineLevel="0" collapsed="false">
      <c r="A193" s="0" t="n">
        <v>2017</v>
      </c>
      <c r="B193" s="0" t="s">
        <v>194</v>
      </c>
      <c r="C193" s="0" t="s">
        <v>195</v>
      </c>
      <c r="D193" s="0" t="s">
        <v>72</v>
      </c>
      <c r="E193" s="0" t="n">
        <v>161671</v>
      </c>
      <c r="F193" s="0" t="n">
        <v>21768</v>
      </c>
      <c r="G193" s="0" t="n">
        <v>20633</v>
      </c>
      <c r="H193" s="0" t="n">
        <v>18927</v>
      </c>
    </row>
    <row r="194" customFormat="false" ht="15" hidden="false" customHeight="false" outlineLevel="0" collapsed="false">
      <c r="A194" s="0" t="n">
        <v>2017</v>
      </c>
      <c r="B194" s="0" t="s">
        <v>282</v>
      </c>
      <c r="C194" s="0" t="s">
        <v>283</v>
      </c>
      <c r="D194" s="0" t="s">
        <v>75</v>
      </c>
      <c r="E194" s="0" t="n">
        <v>232018</v>
      </c>
      <c r="F194" s="0" t="n">
        <v>16785</v>
      </c>
      <c r="G194" s="0" t="n">
        <v>17089</v>
      </c>
      <c r="H194" s="0" t="n">
        <v>16103</v>
      </c>
    </row>
    <row r="195" customFormat="false" ht="15" hidden="false" customHeight="false" outlineLevel="0" collapsed="false">
      <c r="A195" s="0" t="n">
        <v>2017</v>
      </c>
      <c r="B195" s="0" t="s">
        <v>276</v>
      </c>
      <c r="C195" s="0" t="s">
        <v>277</v>
      </c>
      <c r="D195" s="0" t="s">
        <v>75</v>
      </c>
      <c r="E195" s="0" t="n">
        <v>322508</v>
      </c>
      <c r="F195" s="0" t="n">
        <v>17802</v>
      </c>
      <c r="G195" s="0" t="n">
        <v>17013</v>
      </c>
      <c r="H195" s="0" t="n">
        <v>16404</v>
      </c>
    </row>
    <row r="196" customFormat="false" ht="15" hidden="false" customHeight="false" outlineLevel="0" collapsed="false">
      <c r="A196" s="0" t="n">
        <v>2017</v>
      </c>
      <c r="B196" s="0" t="s">
        <v>286</v>
      </c>
      <c r="C196" s="0" t="s">
        <v>287</v>
      </c>
      <c r="D196" s="0" t="s">
        <v>75</v>
      </c>
      <c r="E196" s="0" t="n">
        <v>221593</v>
      </c>
      <c r="F196" s="0" t="n">
        <v>15455</v>
      </c>
      <c r="G196" s="0" t="n">
        <v>15759</v>
      </c>
      <c r="H196" s="0" t="n">
        <v>14209</v>
      </c>
    </row>
    <row r="197" customFormat="false" ht="15" hidden="false" customHeight="false" outlineLevel="0" collapsed="false">
      <c r="A197" s="0" t="n">
        <v>2017</v>
      </c>
      <c r="B197" s="0" t="s">
        <v>278</v>
      </c>
      <c r="C197" s="0" t="s">
        <v>279</v>
      </c>
      <c r="D197" s="0" t="s">
        <v>72</v>
      </c>
      <c r="E197" s="0" t="n">
        <v>207814</v>
      </c>
      <c r="F197" s="0" t="n">
        <v>21458</v>
      </c>
      <c r="G197" s="0" t="n">
        <v>20002</v>
      </c>
      <c r="H197" s="0" t="n">
        <v>17582</v>
      </c>
    </row>
    <row r="198" customFormat="false" ht="15" hidden="false" customHeight="false" outlineLevel="0" collapsed="false">
      <c r="A198" s="0" t="n">
        <v>2017</v>
      </c>
      <c r="B198" s="0" t="s">
        <v>288</v>
      </c>
      <c r="C198" s="0" t="s">
        <v>289</v>
      </c>
      <c r="D198" s="0" t="s">
        <v>74</v>
      </c>
      <c r="E198" s="0" t="n">
        <v>366650</v>
      </c>
      <c r="F198" s="0" t="n">
        <v>17045</v>
      </c>
      <c r="G198" s="0" t="n">
        <v>16506</v>
      </c>
      <c r="H198" s="0" t="n">
        <v>17220</v>
      </c>
    </row>
    <row r="199" customFormat="false" ht="15" hidden="false" customHeight="false" outlineLevel="0" collapsed="false">
      <c r="A199" s="0" t="n">
        <v>2017</v>
      </c>
      <c r="B199" s="0" t="s">
        <v>290</v>
      </c>
      <c r="C199" s="0" t="s">
        <v>291</v>
      </c>
      <c r="D199" s="0" t="s">
        <v>74</v>
      </c>
      <c r="E199" s="0" t="n">
        <v>216123</v>
      </c>
      <c r="F199" s="0" t="n">
        <v>17023</v>
      </c>
      <c r="G199" s="0" t="n">
        <v>16748</v>
      </c>
      <c r="H199" s="0" t="n">
        <v>14393</v>
      </c>
    </row>
    <row r="200" customFormat="false" ht="15" hidden="false" customHeight="false" outlineLevel="0" collapsed="false">
      <c r="A200" s="0" t="n">
        <v>2017</v>
      </c>
      <c r="B200" s="0" t="s">
        <v>298</v>
      </c>
      <c r="C200" s="0" t="s">
        <v>299</v>
      </c>
      <c r="D200" s="0" t="s">
        <v>72</v>
      </c>
      <c r="E200" s="0" t="n">
        <v>415567</v>
      </c>
      <c r="F200" s="0" t="n">
        <v>21882</v>
      </c>
      <c r="G200" s="0" t="n">
        <v>19900</v>
      </c>
      <c r="H200" s="0" t="n">
        <v>17542</v>
      </c>
    </row>
    <row r="201" customFormat="false" ht="15" hidden="false" customHeight="false" outlineLevel="0" collapsed="false">
      <c r="A201" s="0" t="n">
        <v>2017</v>
      </c>
      <c r="B201" s="0" t="s">
        <v>294</v>
      </c>
      <c r="C201" s="0" t="s">
        <v>295</v>
      </c>
      <c r="D201" s="0" t="s">
        <v>72</v>
      </c>
      <c r="E201" s="0" t="n">
        <v>1632446</v>
      </c>
      <c r="F201" s="0" t="n">
        <v>23762</v>
      </c>
      <c r="G201" s="0" t="n">
        <v>23076</v>
      </c>
      <c r="H201" s="0" t="n">
        <v>19382</v>
      </c>
    </row>
    <row r="202" customFormat="false" ht="15" hidden="false" customHeight="false" outlineLevel="0" collapsed="false">
      <c r="A202" s="0" t="n">
        <v>2017</v>
      </c>
      <c r="B202" s="0" t="s">
        <v>296</v>
      </c>
      <c r="C202" s="0" t="s">
        <v>297</v>
      </c>
      <c r="D202" s="0" t="s">
        <v>75</v>
      </c>
      <c r="E202" s="0" t="n">
        <v>262187</v>
      </c>
      <c r="F202" s="0" t="n">
        <v>15316</v>
      </c>
      <c r="G202" s="0" t="n">
        <v>15736</v>
      </c>
      <c r="H202" s="0" t="n">
        <v>14208</v>
      </c>
    </row>
    <row r="203" customFormat="false" ht="15" hidden="false" customHeight="false" outlineLevel="0" collapsed="false">
      <c r="A203" s="0" t="n">
        <v>2017</v>
      </c>
      <c r="B203" s="0" t="s">
        <v>292</v>
      </c>
      <c r="C203" s="0" t="s">
        <v>293</v>
      </c>
      <c r="D203" s="0" t="s">
        <v>73</v>
      </c>
      <c r="E203" s="0" t="n">
        <v>159664</v>
      </c>
      <c r="F203" s="0" t="n">
        <v>19874</v>
      </c>
      <c r="G203" s="0" t="n">
        <v>19193</v>
      </c>
      <c r="H203" s="0" t="n">
        <v>17818</v>
      </c>
    </row>
    <row r="204" customFormat="false" ht="15" hidden="false" customHeight="false" outlineLevel="0" collapsed="false">
      <c r="A204" s="0" t="n">
        <v>2017</v>
      </c>
      <c r="B204" s="0" t="s">
        <v>302</v>
      </c>
      <c r="C204" s="0" t="s">
        <v>303</v>
      </c>
      <c r="D204" s="0" t="s">
        <v>72</v>
      </c>
      <c r="E204" s="0" t="n">
        <v>180897</v>
      </c>
      <c r="F204" s="0" t="n">
        <v>23676</v>
      </c>
      <c r="G204" s="0" t="n">
        <v>22781</v>
      </c>
      <c r="H204" s="0" t="n">
        <v>20068</v>
      </c>
    </row>
    <row r="205" customFormat="false" ht="15" hidden="false" customHeight="false" outlineLevel="0" collapsed="false">
      <c r="A205" s="0" t="n">
        <v>2017</v>
      </c>
      <c r="B205" s="0" t="s">
        <v>300</v>
      </c>
      <c r="C205" s="0" t="s">
        <v>301</v>
      </c>
      <c r="D205" s="0" t="s">
        <v>72</v>
      </c>
      <c r="E205" s="0" t="n">
        <v>641985</v>
      </c>
      <c r="F205" s="0" t="n">
        <v>22392</v>
      </c>
      <c r="G205" s="0" t="n">
        <v>21639</v>
      </c>
      <c r="H205" s="0" t="n">
        <v>16673</v>
      </c>
    </row>
    <row r="206" customFormat="false" ht="15" hidden="false" customHeight="false" outlineLevel="0" collapsed="false">
      <c r="A206" s="0" t="n">
        <v>2017</v>
      </c>
      <c r="B206" s="0" t="s">
        <v>304</v>
      </c>
      <c r="C206" s="0" t="s">
        <v>305</v>
      </c>
      <c r="D206" s="0" t="s">
        <v>72</v>
      </c>
      <c r="E206" s="0" t="n">
        <v>406213</v>
      </c>
      <c r="F206" s="0" t="n">
        <v>21626</v>
      </c>
      <c r="G206" s="0" t="n">
        <v>21231</v>
      </c>
      <c r="H206" s="0" t="n">
        <v>17294</v>
      </c>
    </row>
    <row r="207" customFormat="false" ht="15" hidden="false" customHeight="false" outlineLevel="0" collapsed="false">
      <c r="A207" s="0" t="n">
        <v>2017</v>
      </c>
      <c r="B207" s="0" t="s">
        <v>306</v>
      </c>
      <c r="C207" s="0" t="s">
        <v>307</v>
      </c>
      <c r="D207" s="0" t="s">
        <v>72</v>
      </c>
      <c r="E207" s="0" t="n">
        <v>626229</v>
      </c>
      <c r="F207" s="0" t="n">
        <v>23615</v>
      </c>
      <c r="G207" s="0" t="n">
        <v>23680</v>
      </c>
      <c r="H207" s="0" t="n">
        <v>18284</v>
      </c>
    </row>
    <row r="208" customFormat="false" ht="15" hidden="false" customHeight="false" outlineLevel="0" collapsed="false">
      <c r="A208" s="0" t="n">
        <v>2017</v>
      </c>
      <c r="B208" s="0" t="s">
        <v>310</v>
      </c>
      <c r="C208" s="0" t="s">
        <v>311</v>
      </c>
      <c r="D208" s="0" t="s">
        <v>72</v>
      </c>
      <c r="E208" s="0" t="n">
        <v>115753</v>
      </c>
      <c r="F208" s="0" t="n">
        <v>20069</v>
      </c>
      <c r="G208" s="0" t="n">
        <v>19767</v>
      </c>
      <c r="H208" s="0" t="n">
        <v>16288</v>
      </c>
    </row>
    <row r="209" customFormat="false" ht="15" hidden="false" customHeight="false" outlineLevel="0" collapsed="false">
      <c r="A209" s="0" t="n">
        <v>2017</v>
      </c>
      <c r="B209" s="0" t="s">
        <v>312</v>
      </c>
      <c r="C209" s="0" t="s">
        <v>313</v>
      </c>
      <c r="D209" s="0" t="s">
        <v>72</v>
      </c>
      <c r="E209" s="0" t="n">
        <v>128821</v>
      </c>
      <c r="F209" s="0" t="n">
        <v>21157</v>
      </c>
      <c r="G209" s="0" t="n">
        <v>20885</v>
      </c>
      <c r="H209" s="0" t="n">
        <v>17601</v>
      </c>
    </row>
    <row r="210" customFormat="false" ht="15" hidden="false" customHeight="false" outlineLevel="0" collapsed="false">
      <c r="A210" s="0" t="n">
        <v>2017</v>
      </c>
      <c r="B210" s="0" t="s">
        <v>308</v>
      </c>
      <c r="C210" s="0" t="s">
        <v>309</v>
      </c>
      <c r="D210" s="0" t="s">
        <v>72</v>
      </c>
      <c r="E210" s="0" t="n">
        <v>630584</v>
      </c>
      <c r="F210" s="0" t="n">
        <v>22054</v>
      </c>
      <c r="G210" s="0" t="n">
        <v>20854</v>
      </c>
      <c r="H210" s="0" t="n">
        <v>17728</v>
      </c>
    </row>
    <row r="211" customFormat="false" ht="15" hidden="false" customHeight="false" outlineLevel="0" collapsed="false">
      <c r="A211" s="0" t="n">
        <v>2017</v>
      </c>
      <c r="B211" s="0" t="s">
        <v>318</v>
      </c>
      <c r="C211" s="0" t="s">
        <v>319</v>
      </c>
      <c r="D211" s="0" t="s">
        <v>72</v>
      </c>
      <c r="E211" s="0" t="n">
        <v>627361</v>
      </c>
      <c r="F211" s="0" t="n">
        <v>22499</v>
      </c>
      <c r="G211" s="0" t="n">
        <v>22093</v>
      </c>
      <c r="H211" s="0" t="n">
        <v>16808</v>
      </c>
    </row>
    <row r="212" customFormat="false" ht="15" hidden="false" customHeight="false" outlineLevel="0" collapsed="false">
      <c r="A212" s="0" t="n">
        <v>2017</v>
      </c>
      <c r="B212" s="0" t="s">
        <v>314</v>
      </c>
      <c r="C212" s="0" t="s">
        <v>315</v>
      </c>
      <c r="D212" s="0" t="s">
        <v>72</v>
      </c>
      <c r="E212" s="0" t="n">
        <v>686016</v>
      </c>
      <c r="F212" s="0" t="n">
        <v>22051</v>
      </c>
      <c r="G212" s="0" t="n">
        <v>20830</v>
      </c>
      <c r="H212" s="0" t="n">
        <v>17162</v>
      </c>
    </row>
    <row r="213" customFormat="false" ht="15" hidden="false" customHeight="false" outlineLevel="0" collapsed="false">
      <c r="A213" s="0" t="n">
        <v>2017</v>
      </c>
      <c r="B213" s="0" t="s">
        <v>320</v>
      </c>
      <c r="C213" s="0" t="s">
        <v>321</v>
      </c>
      <c r="D213" s="0" t="s">
        <v>73</v>
      </c>
      <c r="E213" s="0" t="n">
        <v>216007</v>
      </c>
      <c r="F213" s="0" t="n">
        <v>18385</v>
      </c>
      <c r="G213" s="0" t="n">
        <v>18052</v>
      </c>
      <c r="H213" s="0" t="n">
        <v>16935</v>
      </c>
    </row>
    <row r="214" customFormat="false" ht="15" hidden="false" customHeight="false" outlineLevel="0" collapsed="false">
      <c r="A214" s="0" t="n">
        <v>2017</v>
      </c>
      <c r="B214" s="0" t="s">
        <v>316</v>
      </c>
      <c r="C214" s="0" t="s">
        <v>317</v>
      </c>
      <c r="D214" s="0" t="s">
        <v>74</v>
      </c>
      <c r="E214" s="0" t="n">
        <v>99597</v>
      </c>
      <c r="F214" s="0" t="n">
        <v>14321</v>
      </c>
      <c r="G214" s="0" t="n">
        <v>13835</v>
      </c>
      <c r="H214" s="0" t="n">
        <v>13683</v>
      </c>
    </row>
    <row r="215" customFormat="false" ht="15" hidden="false" customHeight="false" outlineLevel="0" collapsed="false">
      <c r="A215" s="0" t="n">
        <v>2018</v>
      </c>
      <c r="B215" s="0" t="s">
        <v>90</v>
      </c>
      <c r="C215" s="0" t="s">
        <v>91</v>
      </c>
      <c r="D215" s="0" t="s">
        <v>75</v>
      </c>
      <c r="E215" s="0" t="n">
        <v>248780</v>
      </c>
      <c r="F215" s="0" t="n">
        <v>14854</v>
      </c>
      <c r="G215" s="0" t="n">
        <v>15912</v>
      </c>
      <c r="H215" s="0" t="n">
        <v>12969</v>
      </c>
    </row>
    <row r="216" customFormat="false" ht="15" hidden="false" customHeight="false" outlineLevel="0" collapsed="false">
      <c r="A216" s="0" t="n">
        <v>2018</v>
      </c>
      <c r="B216" s="0" t="s">
        <v>93</v>
      </c>
      <c r="C216" s="0" t="s">
        <v>94</v>
      </c>
      <c r="D216" s="0" t="s">
        <v>72</v>
      </c>
      <c r="E216" s="0" t="n">
        <v>311200</v>
      </c>
      <c r="F216" s="0" t="n">
        <v>21772</v>
      </c>
      <c r="G216" s="0" t="n">
        <v>21434</v>
      </c>
      <c r="H216" s="0" t="n">
        <v>17855</v>
      </c>
    </row>
    <row r="217" customFormat="false" ht="15" hidden="false" customHeight="false" outlineLevel="0" collapsed="false">
      <c r="A217" s="0" t="n">
        <v>2018</v>
      </c>
      <c r="B217" s="0" t="s">
        <v>96</v>
      </c>
      <c r="C217" s="0" t="s">
        <v>97</v>
      </c>
      <c r="D217" s="0" t="s">
        <v>73</v>
      </c>
      <c r="E217" s="0" t="n">
        <v>345437</v>
      </c>
      <c r="F217" s="0" t="n">
        <v>21597</v>
      </c>
      <c r="G217" s="0" t="n">
        <v>20176</v>
      </c>
      <c r="H217" s="0" t="n">
        <v>18206</v>
      </c>
    </row>
    <row r="218" customFormat="false" ht="15" hidden="false" customHeight="false" outlineLevel="0" collapsed="false">
      <c r="A218" s="0" t="n">
        <v>2018</v>
      </c>
      <c r="B218" s="0" t="s">
        <v>99</v>
      </c>
      <c r="C218" s="0" t="s">
        <v>100</v>
      </c>
      <c r="D218" s="0" t="s">
        <v>72</v>
      </c>
      <c r="E218" s="0" t="n">
        <v>97778</v>
      </c>
      <c r="F218" s="0" t="n">
        <v>22767</v>
      </c>
      <c r="G218" s="0" t="n">
        <v>20280</v>
      </c>
      <c r="H218" s="0" t="n">
        <v>18317</v>
      </c>
    </row>
    <row r="219" customFormat="false" ht="15" hidden="false" customHeight="false" outlineLevel="0" collapsed="false">
      <c r="A219" s="0" t="n">
        <v>2018</v>
      </c>
      <c r="B219" s="0" t="s">
        <v>105</v>
      </c>
      <c r="C219" s="0" t="s">
        <v>106</v>
      </c>
      <c r="D219" s="0" t="s">
        <v>73</v>
      </c>
      <c r="E219" s="0" t="n">
        <v>155470</v>
      </c>
      <c r="F219" s="0" t="n">
        <v>19173</v>
      </c>
      <c r="G219" s="0" t="n">
        <v>18372</v>
      </c>
      <c r="H219" s="0" t="n">
        <v>16267</v>
      </c>
    </row>
    <row r="220" customFormat="false" ht="15" hidden="false" customHeight="false" outlineLevel="0" collapsed="false">
      <c r="A220" s="0" t="n">
        <v>2018</v>
      </c>
      <c r="B220" s="0" t="s">
        <v>192</v>
      </c>
      <c r="C220" s="0" t="s">
        <v>193</v>
      </c>
      <c r="D220" s="0" t="s">
        <v>74</v>
      </c>
      <c r="E220" s="0" t="n">
        <v>208351</v>
      </c>
      <c r="F220" s="0" t="n">
        <v>19076</v>
      </c>
      <c r="G220" s="0" t="n">
        <v>19074</v>
      </c>
      <c r="H220" s="0" t="n">
        <v>16787</v>
      </c>
    </row>
    <row r="221" customFormat="false" ht="15" hidden="false" customHeight="false" outlineLevel="0" collapsed="false">
      <c r="A221" s="0" t="n">
        <v>2018</v>
      </c>
      <c r="B221" s="0" t="s">
        <v>102</v>
      </c>
      <c r="C221" s="0" t="s">
        <v>103</v>
      </c>
      <c r="D221" s="0" t="s">
        <v>73</v>
      </c>
      <c r="E221" s="0" t="n">
        <v>255524</v>
      </c>
      <c r="F221" s="0" t="n">
        <v>21029</v>
      </c>
      <c r="G221" s="0" t="n">
        <v>19629</v>
      </c>
      <c r="H221" s="0" t="n">
        <v>17234</v>
      </c>
    </row>
    <row r="222" customFormat="false" ht="15" hidden="false" customHeight="false" outlineLevel="0" collapsed="false">
      <c r="A222" s="0" t="n">
        <v>2018</v>
      </c>
      <c r="B222" s="0" t="s">
        <v>107</v>
      </c>
      <c r="C222" s="0" t="s">
        <v>108</v>
      </c>
      <c r="D222" s="0" t="s">
        <v>72</v>
      </c>
      <c r="E222" s="0" t="n">
        <v>158004</v>
      </c>
      <c r="F222" s="0" t="n">
        <v>21048</v>
      </c>
      <c r="G222" s="0" t="n">
        <v>20400</v>
      </c>
      <c r="H222" s="0" t="n">
        <v>17202</v>
      </c>
    </row>
    <row r="223" customFormat="false" ht="15" hidden="false" customHeight="false" outlineLevel="0" collapsed="false">
      <c r="A223" s="0" t="n">
        <v>2018</v>
      </c>
      <c r="B223" s="0" t="s">
        <v>109</v>
      </c>
      <c r="C223" s="0" t="s">
        <v>110</v>
      </c>
      <c r="D223" s="0" t="s">
        <v>74</v>
      </c>
      <c r="E223" s="0" t="n">
        <v>264502</v>
      </c>
      <c r="F223" s="0" t="n">
        <v>16357</v>
      </c>
      <c r="G223" s="0" t="n">
        <v>17111</v>
      </c>
      <c r="H223" s="0" t="n">
        <v>14066</v>
      </c>
    </row>
    <row r="224" customFormat="false" ht="15" hidden="false" customHeight="false" outlineLevel="0" collapsed="false">
      <c r="A224" s="0" t="n">
        <v>2018</v>
      </c>
      <c r="B224" s="0" t="s">
        <v>112</v>
      </c>
      <c r="C224" s="0" t="s">
        <v>113</v>
      </c>
      <c r="D224" s="0" t="s">
        <v>74</v>
      </c>
      <c r="E224" s="0" t="n">
        <v>809093</v>
      </c>
      <c r="F224" s="0" t="n">
        <v>18204</v>
      </c>
      <c r="G224" s="0" t="n">
        <v>17612</v>
      </c>
      <c r="H224" s="0" t="n">
        <v>16908</v>
      </c>
    </row>
    <row r="225" customFormat="false" ht="15" hidden="false" customHeight="false" outlineLevel="0" collapsed="false">
      <c r="A225" s="0" t="n">
        <v>2018</v>
      </c>
      <c r="B225" s="0" t="s">
        <v>122</v>
      </c>
      <c r="C225" s="0" t="s">
        <v>123</v>
      </c>
      <c r="D225" s="0" t="s">
        <v>72</v>
      </c>
      <c r="E225" s="0" t="n">
        <v>794431</v>
      </c>
      <c r="F225" s="0" t="n">
        <v>23642</v>
      </c>
      <c r="G225" s="0" t="n">
        <v>23146</v>
      </c>
      <c r="H225" s="0" t="n">
        <v>18093</v>
      </c>
    </row>
    <row r="226" customFormat="false" ht="15" hidden="false" customHeight="false" outlineLevel="0" collapsed="false">
      <c r="A226" s="0" t="n">
        <v>2018</v>
      </c>
      <c r="B226" s="0" t="s">
        <v>125</v>
      </c>
      <c r="C226" s="0" t="s">
        <v>126</v>
      </c>
      <c r="D226" s="0" t="s">
        <v>72</v>
      </c>
      <c r="E226" s="0" t="n">
        <v>135227</v>
      </c>
      <c r="F226" s="0" t="n">
        <v>22046</v>
      </c>
      <c r="G226" s="0" t="n">
        <v>22032</v>
      </c>
      <c r="H226" s="0" t="n">
        <v>17827</v>
      </c>
    </row>
    <row r="227" customFormat="false" ht="15" hidden="false" customHeight="false" outlineLevel="0" collapsed="false">
      <c r="A227" s="0" t="n">
        <v>2018</v>
      </c>
      <c r="B227" s="0" t="s">
        <v>117</v>
      </c>
      <c r="C227" s="0" t="s">
        <v>118</v>
      </c>
      <c r="D227" s="0" t="s">
        <v>72</v>
      </c>
      <c r="E227" s="0" t="n">
        <v>162229</v>
      </c>
      <c r="F227" s="0" t="n">
        <v>21821</v>
      </c>
      <c r="G227" s="0" t="n">
        <v>21087</v>
      </c>
      <c r="H227" s="0" t="n">
        <v>16744</v>
      </c>
    </row>
    <row r="228" customFormat="false" ht="15" hidden="false" customHeight="false" outlineLevel="0" collapsed="false">
      <c r="A228" s="0" t="n">
        <v>2018</v>
      </c>
      <c r="B228" s="0" t="s">
        <v>120</v>
      </c>
      <c r="C228" s="0" t="s">
        <v>121</v>
      </c>
      <c r="D228" s="0" t="s">
        <v>74</v>
      </c>
      <c r="E228" s="0" t="n">
        <v>177877</v>
      </c>
      <c r="F228" s="0" t="n">
        <v>15925</v>
      </c>
      <c r="G228" s="0" t="n">
        <v>16727</v>
      </c>
      <c r="H228" s="0" t="n">
        <v>13861</v>
      </c>
    </row>
    <row r="229" customFormat="false" ht="15" hidden="false" customHeight="false" outlineLevel="0" collapsed="false">
      <c r="A229" s="0" t="n">
        <v>2018</v>
      </c>
      <c r="B229" s="0" t="s">
        <v>127</v>
      </c>
      <c r="C229" s="0" t="s">
        <v>128</v>
      </c>
      <c r="D229" s="0" t="s">
        <v>72</v>
      </c>
      <c r="E229" s="0" t="n">
        <v>782379</v>
      </c>
      <c r="F229" s="0" t="n">
        <v>26176</v>
      </c>
      <c r="G229" s="0" t="n">
        <v>24110</v>
      </c>
      <c r="H229" s="0" t="n">
        <v>20575</v>
      </c>
    </row>
    <row r="230" customFormat="false" ht="15" hidden="false" customHeight="false" outlineLevel="0" collapsed="false">
      <c r="A230" s="0" t="n">
        <v>2018</v>
      </c>
      <c r="B230" s="0" t="s">
        <v>135</v>
      </c>
      <c r="C230" s="0" t="s">
        <v>136</v>
      </c>
      <c r="D230" s="0" t="s">
        <v>74</v>
      </c>
      <c r="E230" s="0" t="n">
        <v>258824</v>
      </c>
      <c r="F230" s="0" t="n">
        <v>16228</v>
      </c>
      <c r="G230" s="0" t="n">
        <v>15634</v>
      </c>
      <c r="H230" s="0" t="n">
        <v>15438</v>
      </c>
    </row>
    <row r="231" customFormat="false" ht="15" hidden="false" customHeight="false" outlineLevel="0" collapsed="false">
      <c r="A231" s="0" t="n">
        <v>2018</v>
      </c>
      <c r="B231" s="0" t="s">
        <v>133</v>
      </c>
      <c r="C231" s="0" t="s">
        <v>134</v>
      </c>
      <c r="D231" s="0" t="s">
        <v>72</v>
      </c>
      <c r="E231" s="0" t="n">
        <v>898002</v>
      </c>
      <c r="F231" s="0" t="n">
        <v>22840</v>
      </c>
      <c r="G231" s="0" t="n">
        <v>22169</v>
      </c>
      <c r="H231" s="0" t="n">
        <v>17306</v>
      </c>
    </row>
    <row r="232" customFormat="false" ht="15" hidden="false" customHeight="false" outlineLevel="0" collapsed="false">
      <c r="A232" s="0" t="n">
        <v>2018</v>
      </c>
      <c r="B232" s="0" t="s">
        <v>115</v>
      </c>
      <c r="C232" s="0" t="s">
        <v>116</v>
      </c>
      <c r="D232" s="0" t="s">
        <v>74</v>
      </c>
      <c r="E232" s="0" t="n">
        <v>234326</v>
      </c>
      <c r="F232" s="0" t="n">
        <v>15256</v>
      </c>
      <c r="G232" s="0" t="n">
        <v>14809</v>
      </c>
      <c r="H232" s="0" t="n">
        <v>14597</v>
      </c>
    </row>
    <row r="233" customFormat="false" ht="15" hidden="false" customHeight="false" outlineLevel="0" collapsed="false">
      <c r="A233" s="0" t="n">
        <v>2018</v>
      </c>
      <c r="B233" s="0" t="s">
        <v>130</v>
      </c>
      <c r="C233" s="0" t="s">
        <v>131</v>
      </c>
      <c r="D233" s="0" t="s">
        <v>72</v>
      </c>
      <c r="E233" s="0" t="n">
        <v>435341</v>
      </c>
      <c r="F233" s="0" t="n">
        <v>24754</v>
      </c>
      <c r="G233" s="0" t="n">
        <v>21535</v>
      </c>
      <c r="H233" s="0" t="n">
        <v>18210</v>
      </c>
    </row>
    <row r="234" customFormat="false" ht="15" hidden="false" customHeight="false" outlineLevel="0" collapsed="false">
      <c r="A234" s="0" t="n">
        <v>2018</v>
      </c>
      <c r="B234" s="0" t="s">
        <v>137</v>
      </c>
      <c r="C234" s="0" t="s">
        <v>138</v>
      </c>
      <c r="D234" s="0" t="s">
        <v>75</v>
      </c>
      <c r="E234" s="0" t="n">
        <v>277006</v>
      </c>
      <c r="F234" s="0" t="n">
        <v>21787</v>
      </c>
      <c r="G234" s="0" t="n">
        <v>20206</v>
      </c>
      <c r="H234" s="0" t="n">
        <v>20339</v>
      </c>
    </row>
    <row r="235" customFormat="false" ht="15" hidden="false" customHeight="false" outlineLevel="0" collapsed="false">
      <c r="A235" s="0" t="n">
        <v>2018</v>
      </c>
      <c r="B235" s="0" t="s">
        <v>142</v>
      </c>
      <c r="C235" s="0" t="s">
        <v>143</v>
      </c>
      <c r="D235" s="0" t="s">
        <v>74</v>
      </c>
      <c r="E235" s="0" t="n">
        <v>151579</v>
      </c>
      <c r="F235" s="0" t="n">
        <v>16575</v>
      </c>
      <c r="G235" s="0" t="n">
        <v>17650</v>
      </c>
      <c r="H235" s="0" t="n">
        <v>14145</v>
      </c>
    </row>
    <row r="236" customFormat="false" ht="15" hidden="false" customHeight="false" outlineLevel="0" collapsed="false">
      <c r="A236" s="0" t="n">
        <v>2018</v>
      </c>
      <c r="B236" s="0" t="s">
        <v>145</v>
      </c>
      <c r="C236" s="0" t="s">
        <v>146</v>
      </c>
      <c r="D236" s="0" t="s">
        <v>74</v>
      </c>
      <c r="E236" s="0" t="n">
        <v>501324</v>
      </c>
      <c r="F236" s="0" t="n">
        <v>16856</v>
      </c>
      <c r="G236" s="0" t="n">
        <v>16510</v>
      </c>
      <c r="H236" s="0" t="n">
        <v>15691</v>
      </c>
    </row>
    <row r="237" customFormat="false" ht="15" hidden="false" customHeight="false" outlineLevel="0" collapsed="false">
      <c r="A237" s="0" t="n">
        <v>2018</v>
      </c>
      <c r="B237" s="0" t="s">
        <v>152</v>
      </c>
      <c r="C237" s="0" t="s">
        <v>153</v>
      </c>
      <c r="D237" s="0" t="s">
        <v>74</v>
      </c>
      <c r="E237" s="0" t="n">
        <v>269262</v>
      </c>
      <c r="F237" s="0" t="n">
        <v>17795</v>
      </c>
      <c r="G237" s="0" t="n">
        <v>18618</v>
      </c>
      <c r="H237" s="0" t="n">
        <v>14840</v>
      </c>
    </row>
    <row r="238" customFormat="false" ht="15" hidden="false" customHeight="false" outlineLevel="0" collapsed="false">
      <c r="A238" s="0" t="n">
        <v>2018</v>
      </c>
      <c r="B238" s="0" t="s">
        <v>140</v>
      </c>
      <c r="C238" s="0" t="s">
        <v>141</v>
      </c>
      <c r="D238" s="0" t="s">
        <v>75</v>
      </c>
      <c r="E238" s="0" t="n">
        <v>150997</v>
      </c>
      <c r="F238" s="0" t="n">
        <v>15513</v>
      </c>
      <c r="G238" s="0" t="n">
        <v>16738</v>
      </c>
      <c r="H238" s="0" t="n">
        <v>14178</v>
      </c>
    </row>
    <row r="239" customFormat="false" ht="15" hidden="false" customHeight="false" outlineLevel="0" collapsed="false">
      <c r="A239" s="0" t="n">
        <v>2018</v>
      </c>
      <c r="B239" s="0" t="s">
        <v>163</v>
      </c>
      <c r="C239" s="0" t="s">
        <v>164</v>
      </c>
      <c r="D239" s="0" t="s">
        <v>72</v>
      </c>
      <c r="E239" s="0" t="n">
        <v>442880</v>
      </c>
      <c r="F239" s="0" t="n">
        <v>21743</v>
      </c>
      <c r="G239" s="0" t="n">
        <v>20767</v>
      </c>
      <c r="H239" s="0" t="n">
        <v>17097</v>
      </c>
    </row>
    <row r="240" customFormat="false" ht="15" hidden="false" customHeight="false" outlineLevel="0" collapsed="false">
      <c r="A240" s="0" t="n">
        <v>2018</v>
      </c>
      <c r="B240" s="0" t="s">
        <v>155</v>
      </c>
      <c r="C240" s="0" t="s">
        <v>156</v>
      </c>
      <c r="D240" s="0" t="s">
        <v>72</v>
      </c>
      <c r="E240" s="0" t="n">
        <v>426749</v>
      </c>
      <c r="F240" s="0" t="n">
        <v>23997</v>
      </c>
      <c r="G240" s="0" t="n">
        <v>23600</v>
      </c>
      <c r="H240" s="0" t="n">
        <v>17963</v>
      </c>
    </row>
    <row r="241" customFormat="false" ht="15" hidden="false" customHeight="false" outlineLevel="0" collapsed="false">
      <c r="A241" s="0" t="n">
        <v>2018</v>
      </c>
      <c r="B241" s="0" t="s">
        <v>159</v>
      </c>
      <c r="C241" s="0" t="s">
        <v>160</v>
      </c>
      <c r="D241" s="0" t="s">
        <v>72</v>
      </c>
      <c r="E241" s="0" t="n">
        <v>263247</v>
      </c>
      <c r="F241" s="0" t="n">
        <v>23125</v>
      </c>
      <c r="G241" s="0" t="n">
        <v>22671</v>
      </c>
      <c r="H241" s="0" t="n">
        <v>18073</v>
      </c>
    </row>
    <row r="242" customFormat="false" ht="15" hidden="false" customHeight="false" outlineLevel="0" collapsed="false">
      <c r="A242" s="0" t="n">
        <v>2018</v>
      </c>
      <c r="B242" s="0" t="s">
        <v>157</v>
      </c>
      <c r="C242" s="0" t="s">
        <v>158</v>
      </c>
      <c r="D242" s="0" t="s">
        <v>74</v>
      </c>
      <c r="E242" s="0" t="n">
        <v>435760</v>
      </c>
      <c r="F242" s="0" t="n">
        <v>15001</v>
      </c>
      <c r="G242" s="0" t="n">
        <v>14561</v>
      </c>
      <c r="H242" s="0" t="n">
        <v>14298</v>
      </c>
    </row>
    <row r="243" customFormat="false" ht="15" hidden="false" customHeight="false" outlineLevel="0" collapsed="false">
      <c r="A243" s="0" t="n">
        <v>2018</v>
      </c>
      <c r="B243" s="0" t="s">
        <v>147</v>
      </c>
      <c r="C243" s="0" t="s">
        <v>148</v>
      </c>
      <c r="D243" s="0" t="s">
        <v>75</v>
      </c>
      <c r="E243" s="0" t="n">
        <v>601379</v>
      </c>
      <c r="F243" s="0" t="n">
        <v>17473</v>
      </c>
      <c r="G243" s="0" t="n">
        <v>17264</v>
      </c>
      <c r="H243" s="0" t="n">
        <v>15959</v>
      </c>
    </row>
    <row r="244" customFormat="false" ht="15" hidden="false" customHeight="false" outlineLevel="0" collapsed="false">
      <c r="A244" s="0" t="n">
        <v>2018</v>
      </c>
      <c r="B244" s="0" t="s">
        <v>149</v>
      </c>
      <c r="C244" s="0" t="s">
        <v>150</v>
      </c>
      <c r="D244" s="0" t="s">
        <v>74</v>
      </c>
      <c r="E244" s="0" t="n">
        <v>216812</v>
      </c>
      <c r="F244" s="0" t="n">
        <v>16418</v>
      </c>
      <c r="G244" s="0" t="n">
        <v>16332</v>
      </c>
      <c r="H244" s="0" t="n">
        <v>14906</v>
      </c>
    </row>
    <row r="245" customFormat="false" ht="15" hidden="false" customHeight="false" outlineLevel="0" collapsed="false">
      <c r="A245" s="0" t="n">
        <v>2018</v>
      </c>
      <c r="B245" s="0" t="s">
        <v>165</v>
      </c>
      <c r="C245" s="0" t="s">
        <v>166</v>
      </c>
      <c r="D245" s="0" t="s">
        <v>75</v>
      </c>
      <c r="E245" s="0" t="n">
        <v>98893</v>
      </c>
      <c r="F245" s="0" t="n">
        <v>15017</v>
      </c>
      <c r="G245" s="0" t="n">
        <v>16580</v>
      </c>
      <c r="H245" s="0" t="n">
        <v>13087</v>
      </c>
    </row>
    <row r="246" customFormat="false" ht="15" hidden="false" customHeight="false" outlineLevel="0" collapsed="false">
      <c r="A246" s="0" t="n">
        <v>2018</v>
      </c>
      <c r="B246" s="0" t="s">
        <v>175</v>
      </c>
      <c r="C246" s="0" t="s">
        <v>176</v>
      </c>
      <c r="D246" s="0" t="s">
        <v>72</v>
      </c>
      <c r="E246" s="0" t="n">
        <v>305679</v>
      </c>
      <c r="F246" s="0" t="n">
        <v>21449</v>
      </c>
      <c r="G246" s="0" t="n">
        <v>19939</v>
      </c>
      <c r="H246" s="0" t="n">
        <v>16979</v>
      </c>
    </row>
    <row r="247" customFormat="false" ht="15" hidden="false" customHeight="false" outlineLevel="0" collapsed="false">
      <c r="A247" s="0" t="n">
        <v>2018</v>
      </c>
      <c r="B247" s="0" t="s">
        <v>169</v>
      </c>
      <c r="C247" s="0" t="s">
        <v>170</v>
      </c>
      <c r="D247" s="0" t="s">
        <v>72</v>
      </c>
      <c r="E247" s="0" t="n">
        <v>274017</v>
      </c>
      <c r="F247" s="0" t="n">
        <v>21318</v>
      </c>
      <c r="G247" s="0" t="n">
        <v>20324</v>
      </c>
      <c r="H247" s="0" t="n">
        <v>17655</v>
      </c>
    </row>
    <row r="248" customFormat="false" ht="15" hidden="false" customHeight="false" outlineLevel="0" collapsed="false">
      <c r="A248" s="0" t="n">
        <v>2018</v>
      </c>
      <c r="B248" s="0" t="s">
        <v>173</v>
      </c>
      <c r="C248" s="0" t="s">
        <v>174</v>
      </c>
      <c r="D248" s="0" t="s">
        <v>74</v>
      </c>
      <c r="E248" s="0" t="n">
        <v>388961</v>
      </c>
      <c r="F248" s="0" t="n">
        <v>15338</v>
      </c>
      <c r="G248" s="0" t="n">
        <v>14941</v>
      </c>
      <c r="H248" s="0" t="n">
        <v>14732</v>
      </c>
    </row>
    <row r="249" customFormat="false" ht="15" hidden="false" customHeight="false" outlineLevel="0" collapsed="false">
      <c r="A249" s="0" t="n">
        <v>2018</v>
      </c>
      <c r="B249" s="0" t="s">
        <v>171</v>
      </c>
      <c r="C249" s="0" t="s">
        <v>172</v>
      </c>
      <c r="D249" s="0" t="s">
        <v>73</v>
      </c>
      <c r="E249" s="0" t="n">
        <v>751220</v>
      </c>
      <c r="F249" s="0" t="n">
        <v>24330</v>
      </c>
      <c r="G249" s="0" t="n">
        <v>21883</v>
      </c>
      <c r="H249" s="0" t="n">
        <v>19384</v>
      </c>
    </row>
    <row r="250" customFormat="false" ht="15" hidden="false" customHeight="false" outlineLevel="0" collapsed="false">
      <c r="A250" s="0" t="n">
        <v>2018</v>
      </c>
      <c r="B250" s="0" t="s">
        <v>167</v>
      </c>
      <c r="C250" s="0" t="s">
        <v>168</v>
      </c>
      <c r="D250" s="0" t="s">
        <v>73</v>
      </c>
      <c r="E250" s="0" t="n">
        <v>125718</v>
      </c>
      <c r="F250" s="0" t="n">
        <v>18641</v>
      </c>
      <c r="G250" s="0" t="n">
        <v>17466</v>
      </c>
      <c r="H250" s="0" t="n">
        <v>14459</v>
      </c>
    </row>
    <row r="251" customFormat="false" ht="15" hidden="false" customHeight="false" outlineLevel="0" collapsed="false">
      <c r="A251" s="0" t="n">
        <v>2018</v>
      </c>
      <c r="B251" s="0" t="s">
        <v>177</v>
      </c>
      <c r="C251" s="0" t="s">
        <v>178</v>
      </c>
      <c r="D251" s="0" t="s">
        <v>73</v>
      </c>
      <c r="E251" s="0" t="n">
        <v>312806</v>
      </c>
      <c r="F251" s="0" t="n">
        <v>17957</v>
      </c>
      <c r="G251" s="0" t="n">
        <v>18513</v>
      </c>
      <c r="H251" s="0" t="n">
        <v>15639</v>
      </c>
    </row>
    <row r="252" customFormat="false" ht="15" hidden="false" customHeight="false" outlineLevel="0" collapsed="false">
      <c r="A252" s="0" t="n">
        <v>2018</v>
      </c>
      <c r="B252" s="0" t="s">
        <v>180</v>
      </c>
      <c r="C252" s="0" t="s">
        <v>181</v>
      </c>
      <c r="D252" s="0" t="s">
        <v>72</v>
      </c>
      <c r="E252" s="0" t="n">
        <v>659099</v>
      </c>
      <c r="F252" s="0" t="n">
        <v>23831</v>
      </c>
      <c r="G252" s="0" t="n">
        <v>21774</v>
      </c>
      <c r="H252" s="0" t="n">
        <v>20361</v>
      </c>
    </row>
    <row r="253" customFormat="false" ht="15" hidden="false" customHeight="false" outlineLevel="0" collapsed="false">
      <c r="A253" s="0" t="n">
        <v>2018</v>
      </c>
      <c r="B253" s="0" t="s">
        <v>183</v>
      </c>
      <c r="C253" s="0" t="s">
        <v>184</v>
      </c>
      <c r="D253" s="0" t="s">
        <v>72</v>
      </c>
      <c r="E253" s="0" t="n">
        <v>109900</v>
      </c>
      <c r="F253" s="0" t="n">
        <v>21318</v>
      </c>
      <c r="G253" s="0" t="n">
        <v>20211</v>
      </c>
      <c r="H253" s="0" t="n">
        <v>18708</v>
      </c>
    </row>
    <row r="254" customFormat="false" ht="15" hidden="false" customHeight="false" outlineLevel="0" collapsed="false">
      <c r="A254" s="0" t="n">
        <v>2018</v>
      </c>
      <c r="B254" s="0" t="s">
        <v>186</v>
      </c>
      <c r="C254" s="0" t="s">
        <v>187</v>
      </c>
      <c r="D254" s="0" t="s">
        <v>73</v>
      </c>
      <c r="E254" s="0" t="n">
        <v>166097</v>
      </c>
      <c r="F254" s="0" t="n">
        <v>19659</v>
      </c>
      <c r="G254" s="0" t="n">
        <v>18013</v>
      </c>
      <c r="H254" s="0" t="n">
        <v>17556</v>
      </c>
    </row>
    <row r="255" customFormat="false" ht="15" hidden="false" customHeight="false" outlineLevel="0" collapsed="false">
      <c r="A255" s="0" t="n">
        <v>2018</v>
      </c>
      <c r="B255" s="0" t="s">
        <v>188</v>
      </c>
      <c r="C255" s="0" t="s">
        <v>189</v>
      </c>
      <c r="D255" s="0" t="s">
        <v>72</v>
      </c>
      <c r="E255" s="0" t="n">
        <v>153378</v>
      </c>
      <c r="F255" s="0" t="n">
        <v>19485</v>
      </c>
      <c r="G255" s="0" t="n">
        <v>17411</v>
      </c>
      <c r="H255" s="0" t="n">
        <v>16206</v>
      </c>
    </row>
    <row r="256" customFormat="false" ht="15" hidden="false" customHeight="false" outlineLevel="0" collapsed="false">
      <c r="A256" s="0" t="n">
        <v>2018</v>
      </c>
      <c r="B256" s="0" t="s">
        <v>190</v>
      </c>
      <c r="C256" s="0" t="s">
        <v>191</v>
      </c>
      <c r="D256" s="0" t="s">
        <v>74</v>
      </c>
      <c r="E256" s="0" t="n">
        <v>60062</v>
      </c>
      <c r="F256" s="0" t="n">
        <v>16251</v>
      </c>
      <c r="G256" s="0" t="n">
        <v>17420</v>
      </c>
      <c r="H256" s="0" t="n">
        <v>13977</v>
      </c>
    </row>
    <row r="257" customFormat="false" ht="15" hidden="false" customHeight="false" outlineLevel="0" collapsed="false">
      <c r="A257" s="0" t="n">
        <v>2018</v>
      </c>
      <c r="B257" s="0" t="s">
        <v>161</v>
      </c>
      <c r="C257" s="0" t="s">
        <v>162</v>
      </c>
      <c r="D257" s="0" t="s">
        <v>74</v>
      </c>
      <c r="E257" s="0" t="n">
        <v>95444</v>
      </c>
      <c r="F257" s="0" t="n">
        <v>14280</v>
      </c>
      <c r="G257" s="0" t="n">
        <v>13857</v>
      </c>
      <c r="H257" s="0" t="n">
        <v>13456</v>
      </c>
    </row>
    <row r="258" customFormat="false" ht="15" hidden="false" customHeight="false" outlineLevel="0" collapsed="false">
      <c r="A258" s="0" t="n">
        <v>2018</v>
      </c>
      <c r="B258" s="0" t="s">
        <v>200</v>
      </c>
      <c r="C258" s="0" t="s">
        <v>201</v>
      </c>
      <c r="D258" s="0" t="s">
        <v>72</v>
      </c>
      <c r="E258" s="0" t="n">
        <v>248655</v>
      </c>
      <c r="F258" s="0" t="n">
        <v>25513</v>
      </c>
      <c r="G258" s="0" t="n">
        <v>24815</v>
      </c>
      <c r="H258" s="0" t="n">
        <v>19103</v>
      </c>
    </row>
    <row r="259" customFormat="false" ht="15" hidden="false" customHeight="false" outlineLevel="0" collapsed="false">
      <c r="A259" s="0" t="n">
        <v>2018</v>
      </c>
      <c r="B259" s="0" t="s">
        <v>198</v>
      </c>
      <c r="C259" s="0" t="s">
        <v>199</v>
      </c>
      <c r="D259" s="0" t="s">
        <v>74</v>
      </c>
      <c r="E259" s="0" t="n">
        <v>520127</v>
      </c>
      <c r="F259" s="0" t="n">
        <v>16002</v>
      </c>
      <c r="G259" s="0" t="n">
        <v>15598</v>
      </c>
      <c r="H259" s="0" t="n">
        <v>14587</v>
      </c>
    </row>
    <row r="260" customFormat="false" ht="15" hidden="false" customHeight="false" outlineLevel="0" collapsed="false">
      <c r="A260" s="0" t="n">
        <v>2018</v>
      </c>
      <c r="B260" s="0" t="s">
        <v>202</v>
      </c>
      <c r="C260" s="0" t="s">
        <v>203</v>
      </c>
      <c r="D260" s="0" t="s">
        <v>73</v>
      </c>
      <c r="E260" s="0" t="n">
        <v>243934</v>
      </c>
      <c r="F260" s="0" t="n">
        <v>21851</v>
      </c>
      <c r="G260" s="0" t="n">
        <v>20120</v>
      </c>
      <c r="H260" s="0" t="n">
        <v>19506</v>
      </c>
    </row>
    <row r="261" customFormat="false" ht="15" hidden="false" customHeight="false" outlineLevel="0" collapsed="false">
      <c r="A261" s="0" t="n">
        <v>2018</v>
      </c>
      <c r="B261" s="0" t="s">
        <v>204</v>
      </c>
      <c r="C261" s="0" t="s">
        <v>205</v>
      </c>
      <c r="D261" s="0" t="s">
        <v>72</v>
      </c>
      <c r="E261" s="0" t="n">
        <v>165034</v>
      </c>
      <c r="F261" s="0" t="n">
        <v>23585</v>
      </c>
      <c r="G261" s="0" t="n">
        <v>23281</v>
      </c>
      <c r="H261" s="0" t="n">
        <v>19020</v>
      </c>
    </row>
    <row r="262" customFormat="false" ht="15" hidden="false" customHeight="false" outlineLevel="0" collapsed="false">
      <c r="A262" s="0" t="n">
        <v>2018</v>
      </c>
      <c r="B262" s="0" t="s">
        <v>196</v>
      </c>
      <c r="C262" s="0" t="s">
        <v>197</v>
      </c>
      <c r="D262" s="0" t="s">
        <v>73</v>
      </c>
      <c r="E262" s="0" t="n">
        <v>380328</v>
      </c>
      <c r="F262" s="0" t="n">
        <v>18110</v>
      </c>
      <c r="G262" s="0" t="n">
        <v>17631</v>
      </c>
      <c r="H262" s="0" t="n">
        <v>16661</v>
      </c>
    </row>
    <row r="263" customFormat="false" ht="15" hidden="false" customHeight="false" outlineLevel="0" collapsed="false">
      <c r="A263" s="0" t="n">
        <v>2018</v>
      </c>
      <c r="B263" s="0" t="s">
        <v>206</v>
      </c>
      <c r="C263" s="0" t="s">
        <v>207</v>
      </c>
      <c r="D263" s="0" t="s">
        <v>73</v>
      </c>
      <c r="E263" s="0" t="n">
        <v>281802</v>
      </c>
      <c r="F263" s="0" t="n">
        <v>21757</v>
      </c>
      <c r="G263" s="0" t="n">
        <v>20469</v>
      </c>
      <c r="H263" s="0" t="n">
        <v>17285</v>
      </c>
    </row>
    <row r="264" customFormat="false" ht="15" hidden="false" customHeight="false" outlineLevel="0" collapsed="false">
      <c r="A264" s="0" t="n">
        <v>2018</v>
      </c>
      <c r="B264" s="0" t="s">
        <v>222</v>
      </c>
      <c r="C264" s="0" t="s">
        <v>223</v>
      </c>
      <c r="D264" s="0" t="s">
        <v>72</v>
      </c>
      <c r="E264" s="0" t="n">
        <v>633627</v>
      </c>
      <c r="F264" s="0" t="n">
        <v>26022</v>
      </c>
      <c r="G264" s="0" t="n">
        <v>25857</v>
      </c>
      <c r="H264" s="0" t="n">
        <v>19783</v>
      </c>
    </row>
    <row r="265" customFormat="false" ht="15" hidden="false" customHeight="false" outlineLevel="0" collapsed="false">
      <c r="A265" s="0" t="n">
        <v>2018</v>
      </c>
      <c r="B265" s="0" t="s">
        <v>208</v>
      </c>
      <c r="C265" s="0" t="s">
        <v>209</v>
      </c>
      <c r="D265" s="0" t="s">
        <v>73</v>
      </c>
      <c r="E265" s="0" t="n">
        <v>231694</v>
      </c>
      <c r="F265" s="0" t="n">
        <v>19831</v>
      </c>
      <c r="G265" s="0" t="n">
        <v>18511</v>
      </c>
      <c r="H265" s="0" t="n">
        <v>16063</v>
      </c>
    </row>
    <row r="266" customFormat="false" ht="15" hidden="false" customHeight="false" outlineLevel="0" collapsed="false">
      <c r="A266" s="0" t="n">
        <v>2018</v>
      </c>
      <c r="B266" s="0" t="s">
        <v>217</v>
      </c>
      <c r="C266" s="0" t="s">
        <v>218</v>
      </c>
      <c r="D266" s="0" t="s">
        <v>75</v>
      </c>
      <c r="E266" s="0" t="n">
        <v>387881</v>
      </c>
      <c r="F266" s="0" t="n">
        <v>17421</v>
      </c>
      <c r="G266" s="0" t="n">
        <v>16910</v>
      </c>
      <c r="H266" s="0" t="n">
        <v>16232</v>
      </c>
    </row>
    <row r="267" customFormat="false" ht="15" hidden="false" customHeight="false" outlineLevel="0" collapsed="false">
      <c r="A267" s="0" t="n">
        <v>2018</v>
      </c>
      <c r="B267" s="0" t="s">
        <v>219</v>
      </c>
      <c r="C267" s="0" t="s">
        <v>50</v>
      </c>
      <c r="D267" s="0" t="s">
        <v>72</v>
      </c>
      <c r="E267" s="0" t="n">
        <v>2380273</v>
      </c>
      <c r="F267" s="0" t="n">
        <v>29634</v>
      </c>
      <c r="G267" s="0" t="n">
        <v>28433</v>
      </c>
      <c r="H267" s="0" t="n">
        <v>21926</v>
      </c>
    </row>
    <row r="268" customFormat="false" ht="15" hidden="false" customHeight="false" outlineLevel="0" collapsed="false">
      <c r="A268" s="0" t="n">
        <v>2018</v>
      </c>
      <c r="B268" s="0" t="s">
        <v>210</v>
      </c>
      <c r="C268" s="0" t="s">
        <v>211</v>
      </c>
      <c r="D268" s="0" t="s">
        <v>72</v>
      </c>
      <c r="E268" s="0" t="n">
        <v>300661</v>
      </c>
      <c r="F268" s="0" t="n">
        <v>22021</v>
      </c>
      <c r="G268" s="0" t="n">
        <v>21364</v>
      </c>
      <c r="H268" s="0" t="n">
        <v>17099</v>
      </c>
    </row>
    <row r="269" customFormat="false" ht="15" hidden="false" customHeight="false" outlineLevel="0" collapsed="false">
      <c r="A269" s="0" t="n">
        <v>2018</v>
      </c>
      <c r="B269" s="0" t="s">
        <v>220</v>
      </c>
      <c r="C269" s="0" t="s">
        <v>221</v>
      </c>
      <c r="D269" s="0" t="s">
        <v>72</v>
      </c>
      <c r="E269" s="0" t="n">
        <v>528942</v>
      </c>
      <c r="F269" s="0" t="n">
        <v>24433</v>
      </c>
      <c r="G269" s="0" t="n">
        <v>23263</v>
      </c>
      <c r="H269" s="0" t="n">
        <v>18646</v>
      </c>
    </row>
    <row r="270" customFormat="false" ht="15" hidden="false" customHeight="false" outlineLevel="0" collapsed="false">
      <c r="A270" s="0" t="n">
        <v>2018</v>
      </c>
      <c r="B270" s="0" t="s">
        <v>212</v>
      </c>
      <c r="C270" s="0" t="s">
        <v>213</v>
      </c>
      <c r="D270" s="0" t="s">
        <v>73</v>
      </c>
      <c r="E270" s="0" t="n">
        <v>138492</v>
      </c>
      <c r="F270" s="0" t="n">
        <v>20751</v>
      </c>
      <c r="G270" s="0" t="n">
        <v>19818</v>
      </c>
      <c r="H270" s="0" t="n">
        <v>17738</v>
      </c>
    </row>
    <row r="271" customFormat="false" ht="15" hidden="false" customHeight="false" outlineLevel="0" collapsed="false">
      <c r="A271" s="0" t="n">
        <v>2018</v>
      </c>
      <c r="B271" s="0" t="s">
        <v>214</v>
      </c>
      <c r="C271" s="0" t="s">
        <v>215</v>
      </c>
      <c r="D271" s="0" t="s">
        <v>74</v>
      </c>
      <c r="E271" s="0" t="n">
        <v>133375</v>
      </c>
      <c r="F271" s="0" t="n">
        <v>16327</v>
      </c>
      <c r="G271" s="0" t="n">
        <v>15947</v>
      </c>
      <c r="H271" s="0" t="n">
        <v>15233</v>
      </c>
    </row>
    <row r="272" customFormat="false" ht="15" hidden="false" customHeight="false" outlineLevel="0" collapsed="false">
      <c r="A272" s="0" t="n">
        <v>2018</v>
      </c>
      <c r="B272" s="0" t="s">
        <v>224</v>
      </c>
      <c r="C272" s="0" t="s">
        <v>51</v>
      </c>
      <c r="D272" s="0" t="s">
        <v>74</v>
      </c>
      <c r="E272" s="0" t="n">
        <v>1585453</v>
      </c>
      <c r="F272" s="0" t="n">
        <v>18782</v>
      </c>
      <c r="G272" s="0" t="n">
        <v>17730</v>
      </c>
      <c r="H272" s="0" t="n">
        <v>17296</v>
      </c>
    </row>
    <row r="273" customFormat="false" ht="15" hidden="false" customHeight="false" outlineLevel="0" collapsed="false">
      <c r="A273" s="0" t="n">
        <v>2018</v>
      </c>
      <c r="B273" s="0" t="s">
        <v>225</v>
      </c>
      <c r="C273" s="0" t="s">
        <v>226</v>
      </c>
      <c r="D273" s="0" t="s">
        <v>72</v>
      </c>
      <c r="E273" s="0" t="n">
        <v>267390</v>
      </c>
      <c r="F273" s="0" t="n">
        <v>23774</v>
      </c>
      <c r="G273" s="0" t="n">
        <v>23067</v>
      </c>
      <c r="H273" s="0" t="n">
        <v>19091</v>
      </c>
    </row>
    <row r="274" customFormat="false" ht="15" hidden="false" customHeight="false" outlineLevel="0" collapsed="false">
      <c r="A274" s="0" t="n">
        <v>2018</v>
      </c>
      <c r="B274" s="0" t="s">
        <v>227</v>
      </c>
      <c r="C274" s="0" t="s">
        <v>228</v>
      </c>
      <c r="D274" s="0" t="s">
        <v>75</v>
      </c>
      <c r="E274" s="0" t="n">
        <v>138798</v>
      </c>
      <c r="F274" s="0" t="n">
        <v>16151</v>
      </c>
      <c r="G274" s="0" t="n">
        <v>16129</v>
      </c>
      <c r="H274" s="0" t="n">
        <v>14737</v>
      </c>
    </row>
    <row r="275" customFormat="false" ht="15" hidden="false" customHeight="false" outlineLevel="0" collapsed="false">
      <c r="A275" s="0" t="n">
        <v>2018</v>
      </c>
      <c r="B275" s="0" t="s">
        <v>229</v>
      </c>
      <c r="C275" s="0" t="s">
        <v>230</v>
      </c>
      <c r="D275" s="0" t="s">
        <v>75</v>
      </c>
      <c r="E275" s="0" t="n">
        <v>104452</v>
      </c>
      <c r="F275" s="0" t="n">
        <v>16378</v>
      </c>
      <c r="G275" s="0" t="n">
        <v>16630</v>
      </c>
      <c r="H275" s="0" t="n">
        <v>14705</v>
      </c>
    </row>
    <row r="276" customFormat="false" ht="15" hidden="false" customHeight="false" outlineLevel="0" collapsed="false">
      <c r="A276" s="0" t="n">
        <v>2018</v>
      </c>
      <c r="B276" s="0" t="s">
        <v>233</v>
      </c>
      <c r="C276" s="0" t="s">
        <v>234</v>
      </c>
      <c r="D276" s="0" t="s">
        <v>75</v>
      </c>
      <c r="E276" s="0" t="n">
        <v>677152</v>
      </c>
      <c r="F276" s="0" t="n">
        <v>18337</v>
      </c>
      <c r="G276" s="0" t="n">
        <v>17905</v>
      </c>
      <c r="H276" s="0" t="n">
        <v>17361</v>
      </c>
    </row>
    <row r="277" customFormat="false" ht="15" hidden="false" customHeight="false" outlineLevel="0" collapsed="false">
      <c r="A277" s="0" t="n">
        <v>2018</v>
      </c>
      <c r="B277" s="0" t="s">
        <v>246</v>
      </c>
      <c r="C277" s="0" t="s">
        <v>247</v>
      </c>
      <c r="D277" s="0" t="s">
        <v>72</v>
      </c>
      <c r="E277" s="0" t="n">
        <v>218245</v>
      </c>
      <c r="F277" s="0" t="n">
        <v>23474</v>
      </c>
      <c r="G277" s="0" t="n">
        <v>22315</v>
      </c>
      <c r="H277" s="0" t="n">
        <v>18309</v>
      </c>
    </row>
    <row r="278" customFormat="false" ht="15" hidden="false" customHeight="false" outlineLevel="0" collapsed="false">
      <c r="A278" s="0" t="n">
        <v>2018</v>
      </c>
      <c r="B278" s="0" t="s">
        <v>231</v>
      </c>
      <c r="C278" s="0" t="s">
        <v>232</v>
      </c>
      <c r="D278" s="0" t="s">
        <v>72</v>
      </c>
      <c r="E278" s="0" t="n">
        <v>679762</v>
      </c>
      <c r="F278" s="0" t="n">
        <v>23720</v>
      </c>
      <c r="G278" s="0" t="n">
        <v>22380</v>
      </c>
      <c r="H278" s="0" t="n">
        <v>18080</v>
      </c>
    </row>
    <row r="279" customFormat="false" ht="15" hidden="false" customHeight="false" outlineLevel="0" collapsed="false">
      <c r="A279" s="0" t="n">
        <v>2018</v>
      </c>
      <c r="B279" s="0" t="s">
        <v>244</v>
      </c>
      <c r="C279" s="0" t="s">
        <v>245</v>
      </c>
      <c r="D279" s="0" t="s">
        <v>74</v>
      </c>
      <c r="E279" s="0" t="n">
        <v>217416</v>
      </c>
      <c r="F279" s="0" t="n">
        <v>19230</v>
      </c>
      <c r="G279" s="0" t="n">
        <v>18908</v>
      </c>
      <c r="H279" s="0" t="n">
        <v>16489</v>
      </c>
    </row>
    <row r="280" customFormat="false" ht="15" hidden="false" customHeight="false" outlineLevel="0" collapsed="false">
      <c r="A280" s="0" t="n">
        <v>2018</v>
      </c>
      <c r="B280" s="0" t="s">
        <v>239</v>
      </c>
      <c r="C280" s="0" t="s">
        <v>240</v>
      </c>
      <c r="D280" s="0" t="s">
        <v>73</v>
      </c>
      <c r="E280" s="0" t="n">
        <v>470698</v>
      </c>
      <c r="F280" s="0" t="n">
        <v>20437</v>
      </c>
      <c r="G280" s="0" t="n">
        <v>19537</v>
      </c>
      <c r="H280" s="0" t="n">
        <v>17206</v>
      </c>
    </row>
    <row r="281" customFormat="false" ht="15" hidden="false" customHeight="false" outlineLevel="0" collapsed="false">
      <c r="A281" s="0" t="n">
        <v>2018</v>
      </c>
      <c r="B281" s="0" t="s">
        <v>248</v>
      </c>
      <c r="C281" s="0" t="s">
        <v>249</v>
      </c>
      <c r="D281" s="0" t="s">
        <v>73</v>
      </c>
      <c r="E281" s="0" t="n">
        <v>303024</v>
      </c>
      <c r="F281" s="0" t="n">
        <v>22708</v>
      </c>
      <c r="G281" s="0" t="n">
        <v>21470</v>
      </c>
      <c r="H281" s="0" t="n">
        <v>18535</v>
      </c>
    </row>
    <row r="282" customFormat="false" ht="15" hidden="false" customHeight="false" outlineLevel="0" collapsed="false">
      <c r="A282" s="0" t="n">
        <v>2018</v>
      </c>
      <c r="B282" s="0" t="s">
        <v>252</v>
      </c>
      <c r="C282" s="0" t="s">
        <v>253</v>
      </c>
      <c r="D282" s="0" t="s">
        <v>72</v>
      </c>
      <c r="E282" s="0" t="n">
        <v>235612</v>
      </c>
      <c r="F282" s="0" t="n">
        <v>22449</v>
      </c>
      <c r="G282" s="0" t="n">
        <v>21590</v>
      </c>
      <c r="H282" s="0" t="n">
        <v>17586</v>
      </c>
    </row>
    <row r="283" customFormat="false" ht="15" hidden="false" customHeight="false" outlineLevel="0" collapsed="false">
      <c r="A283" s="0" t="n">
        <v>2018</v>
      </c>
      <c r="B283" s="0" t="s">
        <v>256</v>
      </c>
      <c r="C283" s="0" t="s">
        <v>257</v>
      </c>
      <c r="D283" s="0" t="s">
        <v>73</v>
      </c>
      <c r="E283" s="0" t="n">
        <v>195886</v>
      </c>
      <c r="F283" s="0" t="n">
        <v>21423</v>
      </c>
      <c r="G283" s="0" t="n">
        <v>18947</v>
      </c>
      <c r="H283" s="0" t="n">
        <v>17291</v>
      </c>
    </row>
    <row r="284" customFormat="false" ht="15" hidden="false" customHeight="false" outlineLevel="0" collapsed="false">
      <c r="A284" s="0" t="n">
        <v>2018</v>
      </c>
      <c r="B284" s="0" t="s">
        <v>235</v>
      </c>
      <c r="C284" s="0" t="s">
        <v>236</v>
      </c>
      <c r="D284" s="0" t="s">
        <v>72</v>
      </c>
      <c r="E284" s="0" t="n">
        <v>338412</v>
      </c>
      <c r="F284" s="0" t="n">
        <v>25403</v>
      </c>
      <c r="G284" s="0" t="n">
        <v>23917</v>
      </c>
      <c r="H284" s="0" t="n">
        <v>19329</v>
      </c>
    </row>
    <row r="285" customFormat="false" ht="15" hidden="false" customHeight="false" outlineLevel="0" collapsed="false">
      <c r="A285" s="0" t="n">
        <v>2018</v>
      </c>
      <c r="B285" s="0" t="s">
        <v>250</v>
      </c>
      <c r="C285" s="0" t="s">
        <v>251</v>
      </c>
      <c r="D285" s="0" t="s">
        <v>73</v>
      </c>
      <c r="E285" s="0" t="n">
        <v>210790</v>
      </c>
      <c r="F285" s="0" t="n">
        <v>20430</v>
      </c>
      <c r="G285" s="0" t="n">
        <v>19709</v>
      </c>
      <c r="H285" s="0" t="n">
        <v>16590</v>
      </c>
    </row>
    <row r="286" customFormat="false" ht="15" hidden="false" customHeight="false" outlineLevel="0" collapsed="false">
      <c r="A286" s="0" t="n">
        <v>2018</v>
      </c>
      <c r="B286" s="0" t="s">
        <v>242</v>
      </c>
      <c r="C286" s="0" t="s">
        <v>243</v>
      </c>
      <c r="D286" s="0" t="s">
        <v>73</v>
      </c>
      <c r="E286" s="0" t="n">
        <v>267129</v>
      </c>
      <c r="F286" s="0" t="n">
        <v>20404</v>
      </c>
      <c r="G286" s="0" t="n">
        <v>19430</v>
      </c>
      <c r="H286" s="0" t="n">
        <v>16204</v>
      </c>
    </row>
    <row r="287" customFormat="false" ht="15" hidden="false" customHeight="false" outlineLevel="0" collapsed="false">
      <c r="A287" s="0" t="n">
        <v>2018</v>
      </c>
      <c r="B287" s="0" t="s">
        <v>237</v>
      </c>
      <c r="C287" s="0" t="s">
        <v>238</v>
      </c>
      <c r="D287" s="0" t="s">
        <v>72</v>
      </c>
      <c r="E287" s="0" t="n">
        <v>400803</v>
      </c>
      <c r="F287" s="0" t="n">
        <v>23051</v>
      </c>
      <c r="G287" s="0" t="n">
        <v>22390</v>
      </c>
      <c r="H287" s="0" t="n">
        <v>18514</v>
      </c>
    </row>
    <row r="288" customFormat="false" ht="15" hidden="false" customHeight="false" outlineLevel="0" collapsed="false">
      <c r="A288" s="0" t="n">
        <v>2018</v>
      </c>
      <c r="B288" s="0" t="s">
        <v>254</v>
      </c>
      <c r="C288" s="0" t="s">
        <v>255</v>
      </c>
      <c r="D288" s="0" t="s">
        <v>74</v>
      </c>
      <c r="E288" s="0" t="n">
        <v>245737</v>
      </c>
      <c r="F288" s="0" t="n">
        <v>16719</v>
      </c>
      <c r="G288" s="0" t="n">
        <v>17561</v>
      </c>
      <c r="H288" s="0" t="n">
        <v>14034</v>
      </c>
    </row>
    <row r="289" customFormat="false" ht="15" hidden="false" customHeight="false" outlineLevel="0" collapsed="false">
      <c r="A289" s="0" t="n">
        <v>2018</v>
      </c>
      <c r="B289" s="0" t="s">
        <v>260</v>
      </c>
      <c r="C289" s="0" t="s">
        <v>261</v>
      </c>
      <c r="D289" s="0" t="s">
        <v>72</v>
      </c>
      <c r="E289" s="0" t="n">
        <v>306010</v>
      </c>
      <c r="F289" s="0" t="n">
        <v>21990</v>
      </c>
      <c r="G289" s="0" t="n">
        <v>20397</v>
      </c>
      <c r="H289" s="0" t="n">
        <v>18113</v>
      </c>
    </row>
    <row r="290" customFormat="false" ht="15" hidden="false" customHeight="false" outlineLevel="0" collapsed="false">
      <c r="A290" s="0" t="n">
        <v>2018</v>
      </c>
      <c r="B290" s="0" t="s">
        <v>262</v>
      </c>
      <c r="C290" s="0" t="s">
        <v>263</v>
      </c>
      <c r="D290" s="0" t="s">
        <v>74</v>
      </c>
      <c r="E290" s="0" t="n">
        <v>331951</v>
      </c>
      <c r="F290" s="0" t="n">
        <v>15730</v>
      </c>
      <c r="G290" s="0" t="n">
        <v>14841</v>
      </c>
      <c r="H290" s="0" t="n">
        <v>15033</v>
      </c>
    </row>
    <row r="291" customFormat="false" ht="15" hidden="false" customHeight="false" outlineLevel="0" collapsed="false">
      <c r="A291" s="0" t="n">
        <v>2018</v>
      </c>
      <c r="B291" s="0" t="s">
        <v>264</v>
      </c>
      <c r="C291" s="0" t="s">
        <v>265</v>
      </c>
      <c r="D291" s="0" t="s">
        <v>72</v>
      </c>
      <c r="E291" s="0" t="n">
        <v>389165</v>
      </c>
      <c r="F291" s="0" t="n">
        <v>24087</v>
      </c>
      <c r="G291" s="0" t="n">
        <v>22945</v>
      </c>
      <c r="H291" s="0" t="n">
        <v>18641</v>
      </c>
    </row>
    <row r="292" customFormat="false" ht="15" hidden="false" customHeight="false" outlineLevel="0" collapsed="false">
      <c r="A292" s="0" t="n">
        <v>2018</v>
      </c>
      <c r="B292" s="0" t="s">
        <v>258</v>
      </c>
      <c r="C292" s="0" t="s">
        <v>259</v>
      </c>
      <c r="D292" s="0" t="s">
        <v>75</v>
      </c>
      <c r="E292" s="0" t="n">
        <v>201718</v>
      </c>
      <c r="F292" s="0" t="n">
        <v>14928</v>
      </c>
      <c r="G292" s="0" t="n">
        <v>14375</v>
      </c>
      <c r="H292" s="0" t="n">
        <v>14445</v>
      </c>
    </row>
    <row r="293" customFormat="false" ht="15" hidden="false" customHeight="false" outlineLevel="0" collapsed="false">
      <c r="A293" s="0" t="n">
        <v>2018</v>
      </c>
      <c r="B293" s="0" t="s">
        <v>266</v>
      </c>
      <c r="C293" s="0" t="s">
        <v>267</v>
      </c>
      <c r="D293" s="0" t="s">
        <v>73</v>
      </c>
      <c r="E293" s="0" t="n">
        <v>105659</v>
      </c>
      <c r="F293" s="0" t="n">
        <v>19205</v>
      </c>
      <c r="G293" s="0" t="n">
        <v>18726</v>
      </c>
      <c r="H293" s="0" t="n">
        <v>17815</v>
      </c>
    </row>
    <row r="294" customFormat="false" ht="15" hidden="false" customHeight="false" outlineLevel="0" collapsed="false">
      <c r="A294" s="0" t="n">
        <v>2018</v>
      </c>
      <c r="B294" s="0" t="s">
        <v>270</v>
      </c>
      <c r="C294" s="0" t="s">
        <v>271</v>
      </c>
      <c r="D294" s="0" t="s">
        <v>73</v>
      </c>
      <c r="E294" s="0" t="n">
        <v>2886772</v>
      </c>
      <c r="F294" s="0" t="n">
        <v>25378</v>
      </c>
      <c r="G294" s="0" t="n">
        <v>23777</v>
      </c>
      <c r="H294" s="0" t="n">
        <v>22133</v>
      </c>
    </row>
    <row r="295" customFormat="false" ht="15" hidden="false" customHeight="false" outlineLevel="0" collapsed="false">
      <c r="A295" s="0" t="n">
        <v>2018</v>
      </c>
      <c r="B295" s="0" t="s">
        <v>268</v>
      </c>
      <c r="C295" s="0" t="s">
        <v>269</v>
      </c>
      <c r="D295" s="0" t="s">
        <v>72</v>
      </c>
      <c r="E295" s="0" t="n">
        <v>258266</v>
      </c>
      <c r="F295" s="0" t="n">
        <v>20061</v>
      </c>
      <c r="G295" s="0" t="n">
        <v>17969</v>
      </c>
      <c r="H295" s="0" t="n">
        <v>16087</v>
      </c>
    </row>
    <row r="296" customFormat="false" ht="15" hidden="false" customHeight="false" outlineLevel="0" collapsed="false">
      <c r="A296" s="0" t="n">
        <v>2018</v>
      </c>
      <c r="B296" s="0" t="s">
        <v>272</v>
      </c>
      <c r="C296" s="0" t="s">
        <v>273</v>
      </c>
      <c r="D296" s="0" t="s">
        <v>72</v>
      </c>
      <c r="E296" s="0" t="n">
        <v>180671</v>
      </c>
      <c r="F296" s="0" t="n">
        <v>19660</v>
      </c>
      <c r="G296" s="0" t="n">
        <v>19220</v>
      </c>
      <c r="H296" s="0" t="n">
        <v>16194</v>
      </c>
    </row>
    <row r="297" customFormat="false" ht="15" hidden="false" customHeight="false" outlineLevel="0" collapsed="false">
      <c r="A297" s="0" t="n">
        <v>2018</v>
      </c>
      <c r="B297" s="0" t="s">
        <v>274</v>
      </c>
      <c r="C297" s="0" t="s">
        <v>275</v>
      </c>
      <c r="D297" s="0" t="s">
        <v>74</v>
      </c>
      <c r="E297" s="0" t="n">
        <v>667691</v>
      </c>
      <c r="F297" s="0" t="n">
        <v>16692</v>
      </c>
      <c r="G297" s="0" t="n">
        <v>16116</v>
      </c>
      <c r="H297" s="0" t="n">
        <v>14910</v>
      </c>
    </row>
    <row r="298" customFormat="false" ht="15" hidden="false" customHeight="false" outlineLevel="0" collapsed="false">
      <c r="A298" s="0" t="n">
        <v>2018</v>
      </c>
      <c r="B298" s="0" t="s">
        <v>280</v>
      </c>
      <c r="C298" s="0" t="s">
        <v>281</v>
      </c>
      <c r="D298" s="0" t="s">
        <v>73</v>
      </c>
      <c r="E298" s="0" t="n">
        <v>202792</v>
      </c>
      <c r="F298" s="0" t="n">
        <v>22363</v>
      </c>
      <c r="G298" s="0" t="n">
        <v>20516</v>
      </c>
      <c r="H298" s="0" t="n">
        <v>18724</v>
      </c>
    </row>
    <row r="299" customFormat="false" ht="15" hidden="false" customHeight="false" outlineLevel="0" collapsed="false">
      <c r="A299" s="0" t="n">
        <v>2018</v>
      </c>
      <c r="B299" s="0" t="s">
        <v>284</v>
      </c>
      <c r="C299" s="0" t="s">
        <v>285</v>
      </c>
      <c r="D299" s="0" t="s">
        <v>72</v>
      </c>
      <c r="E299" s="0" t="n">
        <v>135576</v>
      </c>
      <c r="F299" s="0" t="n">
        <v>20760</v>
      </c>
      <c r="G299" s="0" t="n">
        <v>20066</v>
      </c>
      <c r="H299" s="0" t="n">
        <v>16117</v>
      </c>
    </row>
    <row r="300" customFormat="false" ht="15" hidden="false" customHeight="false" outlineLevel="0" collapsed="false">
      <c r="A300" s="0" t="n">
        <v>2018</v>
      </c>
      <c r="B300" s="0" t="s">
        <v>194</v>
      </c>
      <c r="C300" s="0" t="s">
        <v>195</v>
      </c>
      <c r="D300" s="0" t="s">
        <v>72</v>
      </c>
      <c r="E300" s="0" t="n">
        <v>161718</v>
      </c>
      <c r="F300" s="0" t="n">
        <v>22280</v>
      </c>
      <c r="G300" s="0" t="n">
        <v>20943</v>
      </c>
      <c r="H300" s="0" t="n">
        <v>19312</v>
      </c>
    </row>
    <row r="301" customFormat="false" ht="15" hidden="false" customHeight="false" outlineLevel="0" collapsed="false">
      <c r="A301" s="0" t="n">
        <v>2018</v>
      </c>
      <c r="B301" s="0" t="s">
        <v>282</v>
      </c>
      <c r="C301" s="0" t="s">
        <v>283</v>
      </c>
      <c r="D301" s="0" t="s">
        <v>75</v>
      </c>
      <c r="E301" s="0" t="n">
        <v>232166</v>
      </c>
      <c r="F301" s="0" t="n">
        <v>17108</v>
      </c>
      <c r="G301" s="0" t="n">
        <v>17259</v>
      </c>
      <c r="H301" s="0" t="n">
        <v>16374</v>
      </c>
    </row>
    <row r="302" customFormat="false" ht="15" hidden="false" customHeight="false" outlineLevel="0" collapsed="false">
      <c r="A302" s="0" t="n">
        <v>2018</v>
      </c>
      <c r="B302" s="0" t="s">
        <v>276</v>
      </c>
      <c r="C302" s="0" t="s">
        <v>277</v>
      </c>
      <c r="D302" s="0" t="s">
        <v>75</v>
      </c>
      <c r="E302" s="0" t="n">
        <v>324639</v>
      </c>
      <c r="F302" s="0" t="n">
        <v>18146</v>
      </c>
      <c r="G302" s="0" t="n">
        <v>17192</v>
      </c>
      <c r="H302" s="0" t="n">
        <v>16759</v>
      </c>
    </row>
    <row r="303" customFormat="false" ht="15" hidden="false" customHeight="false" outlineLevel="0" collapsed="false">
      <c r="A303" s="0" t="n">
        <v>2018</v>
      </c>
      <c r="B303" s="0" t="s">
        <v>286</v>
      </c>
      <c r="C303" s="0" t="s">
        <v>287</v>
      </c>
      <c r="D303" s="0" t="s">
        <v>75</v>
      </c>
      <c r="E303" s="0" t="n">
        <v>222531</v>
      </c>
      <c r="F303" s="0" t="n">
        <v>15833</v>
      </c>
      <c r="G303" s="0" t="n">
        <v>16040</v>
      </c>
      <c r="H303" s="0" t="n">
        <v>14521</v>
      </c>
    </row>
    <row r="304" customFormat="false" ht="15" hidden="false" customHeight="false" outlineLevel="0" collapsed="false">
      <c r="A304" s="0" t="n">
        <v>2018</v>
      </c>
      <c r="B304" s="0" t="s">
        <v>278</v>
      </c>
      <c r="C304" s="0" t="s">
        <v>279</v>
      </c>
      <c r="D304" s="0" t="s">
        <v>72</v>
      </c>
      <c r="E304" s="0" t="n">
        <v>207501</v>
      </c>
      <c r="F304" s="0" t="n">
        <v>22175</v>
      </c>
      <c r="G304" s="0" t="n">
        <v>20700</v>
      </c>
      <c r="H304" s="0" t="n">
        <v>18034</v>
      </c>
    </row>
    <row r="305" customFormat="false" ht="15" hidden="false" customHeight="false" outlineLevel="0" collapsed="false">
      <c r="A305" s="0" t="n">
        <v>2018</v>
      </c>
      <c r="B305" s="0" t="s">
        <v>288</v>
      </c>
      <c r="C305" s="0" t="s">
        <v>289</v>
      </c>
      <c r="D305" s="0" t="s">
        <v>74</v>
      </c>
      <c r="E305" s="0" t="n">
        <v>366386</v>
      </c>
      <c r="F305" s="0" t="n">
        <v>17395</v>
      </c>
      <c r="G305" s="0" t="n">
        <v>16775</v>
      </c>
      <c r="H305" s="0" t="n">
        <v>17495</v>
      </c>
    </row>
    <row r="306" customFormat="false" ht="15" hidden="false" customHeight="false" outlineLevel="0" collapsed="false">
      <c r="A306" s="0" t="n">
        <v>2018</v>
      </c>
      <c r="B306" s="0" t="s">
        <v>290</v>
      </c>
      <c r="C306" s="0" t="s">
        <v>291</v>
      </c>
      <c r="D306" s="0" t="s">
        <v>74</v>
      </c>
      <c r="E306" s="0" t="n">
        <v>216462</v>
      </c>
      <c r="F306" s="0" t="n">
        <v>17527</v>
      </c>
      <c r="G306" s="0" t="n">
        <v>17165</v>
      </c>
      <c r="H306" s="0" t="n">
        <v>14767</v>
      </c>
    </row>
    <row r="307" customFormat="false" ht="15" hidden="false" customHeight="false" outlineLevel="0" collapsed="false">
      <c r="A307" s="0" t="n">
        <v>2018</v>
      </c>
      <c r="B307" s="0" t="s">
        <v>298</v>
      </c>
      <c r="C307" s="0" t="s">
        <v>299</v>
      </c>
      <c r="D307" s="0" t="s">
        <v>72</v>
      </c>
      <c r="E307" s="0" t="n">
        <v>425080</v>
      </c>
      <c r="F307" s="0" t="n">
        <v>22216</v>
      </c>
      <c r="G307" s="0" t="n">
        <v>19817</v>
      </c>
      <c r="H307" s="0" t="n">
        <v>18072</v>
      </c>
    </row>
    <row r="308" customFormat="false" ht="15" hidden="false" customHeight="false" outlineLevel="0" collapsed="false">
      <c r="A308" s="0" t="n">
        <v>2018</v>
      </c>
      <c r="B308" s="0" t="s">
        <v>294</v>
      </c>
      <c r="C308" s="0" t="s">
        <v>295</v>
      </c>
      <c r="D308" s="0" t="s">
        <v>72</v>
      </c>
      <c r="E308" s="0" t="n">
        <v>1636242</v>
      </c>
      <c r="F308" s="0" t="n">
        <v>24239</v>
      </c>
      <c r="G308" s="0" t="n">
        <v>23373</v>
      </c>
      <c r="H308" s="0" t="n">
        <v>19860</v>
      </c>
    </row>
    <row r="309" customFormat="false" ht="15" hidden="false" customHeight="false" outlineLevel="0" collapsed="false">
      <c r="A309" s="0" t="n">
        <v>2018</v>
      </c>
      <c r="B309" s="0" t="s">
        <v>296</v>
      </c>
      <c r="C309" s="0" t="s">
        <v>297</v>
      </c>
      <c r="D309" s="0" t="s">
        <v>75</v>
      </c>
      <c r="E309" s="0" t="n">
        <v>260654</v>
      </c>
      <c r="F309" s="0" t="n">
        <v>15653</v>
      </c>
      <c r="G309" s="0" t="n">
        <v>15905</v>
      </c>
      <c r="H309" s="0" t="n">
        <v>14557</v>
      </c>
    </row>
    <row r="310" customFormat="false" ht="15" hidden="false" customHeight="false" outlineLevel="0" collapsed="false">
      <c r="A310" s="0" t="n">
        <v>2018</v>
      </c>
      <c r="B310" s="0" t="s">
        <v>292</v>
      </c>
      <c r="C310" s="0" t="s">
        <v>293</v>
      </c>
      <c r="D310" s="0" t="s">
        <v>73</v>
      </c>
      <c r="E310" s="0" t="n">
        <v>159086</v>
      </c>
      <c r="F310" s="0" t="n">
        <v>20364</v>
      </c>
      <c r="G310" s="0" t="n">
        <v>19475</v>
      </c>
      <c r="H310" s="0" t="n">
        <v>18235</v>
      </c>
    </row>
    <row r="311" customFormat="false" ht="15" hidden="false" customHeight="false" outlineLevel="0" collapsed="false">
      <c r="A311" s="0" t="n">
        <v>2018</v>
      </c>
      <c r="B311" s="0" t="s">
        <v>302</v>
      </c>
      <c r="C311" s="0" t="s">
        <v>303</v>
      </c>
      <c r="D311" s="0" t="s">
        <v>72</v>
      </c>
      <c r="E311" s="0" t="n">
        <v>181187</v>
      </c>
      <c r="F311" s="0" t="n">
        <v>24052</v>
      </c>
      <c r="G311" s="0" t="n">
        <v>22809</v>
      </c>
      <c r="H311" s="0" t="n">
        <v>20625</v>
      </c>
    </row>
    <row r="312" customFormat="false" ht="15" hidden="false" customHeight="false" outlineLevel="0" collapsed="false">
      <c r="A312" s="0" t="n">
        <v>2018</v>
      </c>
      <c r="B312" s="0" t="s">
        <v>300</v>
      </c>
      <c r="C312" s="0" t="s">
        <v>301</v>
      </c>
      <c r="D312" s="0" t="s">
        <v>72</v>
      </c>
      <c r="E312" s="0" t="n">
        <v>649199</v>
      </c>
      <c r="F312" s="0" t="n">
        <v>22869</v>
      </c>
      <c r="G312" s="0" t="n">
        <v>21785</v>
      </c>
      <c r="H312" s="0" t="n">
        <v>17145</v>
      </c>
    </row>
    <row r="313" customFormat="false" ht="15" hidden="false" customHeight="false" outlineLevel="0" collapsed="false">
      <c r="A313" s="0" t="n">
        <v>2018</v>
      </c>
      <c r="B313" s="0" t="s">
        <v>304</v>
      </c>
      <c r="C313" s="0" t="s">
        <v>305</v>
      </c>
      <c r="D313" s="0" t="s">
        <v>72</v>
      </c>
      <c r="E313" s="0" t="n">
        <v>407024</v>
      </c>
      <c r="F313" s="0" t="n">
        <v>22253</v>
      </c>
      <c r="G313" s="0" t="n">
        <v>21569</v>
      </c>
      <c r="H313" s="0" t="n">
        <v>17743</v>
      </c>
    </row>
    <row r="314" customFormat="false" ht="15" hidden="false" customHeight="false" outlineLevel="0" collapsed="false">
      <c r="A314" s="0" t="n">
        <v>2018</v>
      </c>
      <c r="B314" s="0" t="s">
        <v>306</v>
      </c>
      <c r="C314" s="0" t="s">
        <v>307</v>
      </c>
      <c r="D314" s="0" t="s">
        <v>72</v>
      </c>
      <c r="E314" s="0" t="n">
        <v>628423</v>
      </c>
      <c r="F314" s="0" t="n">
        <v>24047</v>
      </c>
      <c r="G314" s="0" t="n">
        <v>23858</v>
      </c>
      <c r="H314" s="0" t="n">
        <v>18783</v>
      </c>
    </row>
    <row r="315" customFormat="false" ht="15" hidden="false" customHeight="false" outlineLevel="0" collapsed="false">
      <c r="A315" s="0" t="n">
        <v>2018</v>
      </c>
      <c r="B315" s="0" t="s">
        <v>310</v>
      </c>
      <c r="C315" s="0" t="s">
        <v>311</v>
      </c>
      <c r="D315" s="0" t="s">
        <v>72</v>
      </c>
      <c r="E315" s="0" t="n">
        <v>115654</v>
      </c>
      <c r="F315" s="0" t="n">
        <v>20556</v>
      </c>
      <c r="G315" s="0" t="n">
        <v>20063</v>
      </c>
      <c r="H315" s="0" t="n">
        <v>16687</v>
      </c>
    </row>
    <row r="316" customFormat="false" ht="15" hidden="false" customHeight="false" outlineLevel="0" collapsed="false">
      <c r="A316" s="0" t="n">
        <v>2018</v>
      </c>
      <c r="B316" s="0" t="s">
        <v>312</v>
      </c>
      <c r="C316" s="0" t="s">
        <v>313</v>
      </c>
      <c r="D316" s="0" t="s">
        <v>72</v>
      </c>
      <c r="E316" s="0" t="n">
        <v>128533</v>
      </c>
      <c r="F316" s="0" t="n">
        <v>21672</v>
      </c>
      <c r="G316" s="0" t="n">
        <v>21247</v>
      </c>
      <c r="H316" s="0" t="n">
        <v>18050</v>
      </c>
    </row>
    <row r="317" customFormat="false" ht="15" hidden="false" customHeight="false" outlineLevel="0" collapsed="false">
      <c r="A317" s="0" t="n">
        <v>2018</v>
      </c>
      <c r="B317" s="0" t="s">
        <v>308</v>
      </c>
      <c r="C317" s="0" t="s">
        <v>309</v>
      </c>
      <c r="D317" s="0" t="s">
        <v>72</v>
      </c>
      <c r="E317" s="0" t="n">
        <v>634657</v>
      </c>
      <c r="F317" s="0" t="n">
        <v>22458</v>
      </c>
      <c r="G317" s="0" t="n">
        <v>21025</v>
      </c>
      <c r="H317" s="0" t="n">
        <v>18191</v>
      </c>
    </row>
    <row r="318" customFormat="false" ht="15" hidden="false" customHeight="false" outlineLevel="0" collapsed="false">
      <c r="A318" s="0" t="n">
        <v>2018</v>
      </c>
      <c r="B318" s="0" t="s">
        <v>318</v>
      </c>
      <c r="C318" s="0" t="s">
        <v>319</v>
      </c>
      <c r="D318" s="0" t="s">
        <v>72</v>
      </c>
      <c r="E318" s="0" t="n">
        <v>633196</v>
      </c>
      <c r="F318" s="0" t="n">
        <v>23013</v>
      </c>
      <c r="G318" s="0" t="n">
        <v>22295</v>
      </c>
      <c r="H318" s="0" t="n">
        <v>17297</v>
      </c>
    </row>
    <row r="319" customFormat="false" ht="15" hidden="false" customHeight="false" outlineLevel="0" collapsed="false">
      <c r="A319" s="0" t="n">
        <v>2018</v>
      </c>
      <c r="B319" s="0" t="s">
        <v>314</v>
      </c>
      <c r="C319" s="0" t="s">
        <v>315</v>
      </c>
      <c r="D319" s="0" t="s">
        <v>72</v>
      </c>
      <c r="E319" s="0" t="n">
        <v>693753</v>
      </c>
      <c r="F319" s="0" t="n">
        <v>22516</v>
      </c>
      <c r="G319" s="0" t="n">
        <v>21016</v>
      </c>
      <c r="H319" s="0" t="n">
        <v>17641</v>
      </c>
    </row>
    <row r="320" customFormat="false" ht="15" hidden="false" customHeight="false" outlineLevel="0" collapsed="false">
      <c r="A320" s="0" t="n">
        <v>2018</v>
      </c>
      <c r="B320" s="0" t="s">
        <v>320</v>
      </c>
      <c r="C320" s="0" t="s">
        <v>321</v>
      </c>
      <c r="D320" s="0" t="s">
        <v>73</v>
      </c>
      <c r="E320" s="0" t="n">
        <v>216340</v>
      </c>
      <c r="F320" s="0" t="n">
        <v>18840</v>
      </c>
      <c r="G320" s="0" t="n">
        <v>18363</v>
      </c>
      <c r="H320" s="0" t="n">
        <v>17388</v>
      </c>
    </row>
    <row r="321" customFormat="false" ht="15" hidden="false" customHeight="false" outlineLevel="0" collapsed="false">
      <c r="A321" s="0" t="n">
        <v>2018</v>
      </c>
      <c r="B321" s="0" t="s">
        <v>316</v>
      </c>
      <c r="C321" s="0" t="s">
        <v>317</v>
      </c>
      <c r="D321" s="0" t="s">
        <v>74</v>
      </c>
      <c r="E321" s="0" t="n">
        <v>98779</v>
      </c>
      <c r="F321" s="0" t="n">
        <v>14621</v>
      </c>
      <c r="G321" s="0" t="n">
        <v>14046</v>
      </c>
      <c r="H321" s="0" t="n">
        <v>13977</v>
      </c>
    </row>
    <row r="322" customFormat="false" ht="15" hidden="false" customHeight="false" outlineLevel="0" collapsed="false">
      <c r="A322" s="0" t="n">
        <v>2019</v>
      </c>
      <c r="B322" s="0" t="s">
        <v>90</v>
      </c>
      <c r="C322" s="0" t="s">
        <v>91</v>
      </c>
      <c r="D322" s="0" t="s">
        <v>75</v>
      </c>
      <c r="E322" s="0" t="n">
        <v>249197</v>
      </c>
      <c r="F322" s="0" t="n">
        <v>14957</v>
      </c>
      <c r="G322" s="0" t="n">
        <v>15929</v>
      </c>
      <c r="H322" s="0" t="n">
        <v>13314</v>
      </c>
    </row>
    <row r="323" customFormat="false" ht="15" hidden="false" customHeight="false" outlineLevel="0" collapsed="false">
      <c r="A323" s="0" t="n">
        <v>2019</v>
      </c>
      <c r="B323" s="0" t="s">
        <v>93</v>
      </c>
      <c r="C323" s="0" t="s">
        <v>94</v>
      </c>
      <c r="D323" s="0" t="s">
        <v>72</v>
      </c>
      <c r="E323" s="0" t="n">
        <v>310339</v>
      </c>
      <c r="F323" s="0" t="n">
        <v>21891</v>
      </c>
      <c r="G323" s="0" t="n">
        <v>21629</v>
      </c>
      <c r="H323" s="0" t="n">
        <v>18328</v>
      </c>
    </row>
    <row r="324" customFormat="false" ht="15" hidden="false" customHeight="false" outlineLevel="0" collapsed="false">
      <c r="A324" s="0" t="n">
        <v>2019</v>
      </c>
      <c r="B324" s="0" t="s">
        <v>96</v>
      </c>
      <c r="C324" s="0" t="s">
        <v>97</v>
      </c>
      <c r="D324" s="0" t="s">
        <v>73</v>
      </c>
      <c r="E324" s="0" t="n">
        <v>346422</v>
      </c>
      <c r="F324" s="0" t="n">
        <v>21770</v>
      </c>
      <c r="G324" s="0" t="n">
        <v>20450</v>
      </c>
      <c r="H324" s="0" t="n">
        <v>18663</v>
      </c>
    </row>
    <row r="325" customFormat="false" ht="15" hidden="false" customHeight="false" outlineLevel="0" collapsed="false">
      <c r="A325" s="0" t="n">
        <v>2019</v>
      </c>
      <c r="B325" s="0" t="s">
        <v>99</v>
      </c>
      <c r="C325" s="0" t="s">
        <v>100</v>
      </c>
      <c r="D325" s="0" t="s">
        <v>72</v>
      </c>
      <c r="E325" s="0" t="n">
        <v>97931</v>
      </c>
      <c r="F325" s="0" t="n">
        <v>22961</v>
      </c>
      <c r="G325" s="0" t="n">
        <v>20470</v>
      </c>
      <c r="H325" s="0" t="n">
        <v>18882</v>
      </c>
    </row>
    <row r="326" customFormat="false" ht="15" hidden="false" customHeight="false" outlineLevel="0" collapsed="false">
      <c r="A326" s="0" t="n">
        <v>2019</v>
      </c>
      <c r="B326" s="0" t="s">
        <v>105</v>
      </c>
      <c r="C326" s="0" t="s">
        <v>106</v>
      </c>
      <c r="D326" s="0" t="s">
        <v>73</v>
      </c>
      <c r="E326" s="0" t="n">
        <v>155557</v>
      </c>
      <c r="F326" s="0" t="n">
        <v>19395</v>
      </c>
      <c r="G326" s="0" t="n">
        <v>18612</v>
      </c>
      <c r="H326" s="0" t="n">
        <v>16690</v>
      </c>
    </row>
    <row r="327" customFormat="false" ht="15" hidden="false" customHeight="false" outlineLevel="0" collapsed="false">
      <c r="A327" s="0" t="n">
        <v>2019</v>
      </c>
      <c r="B327" s="0" t="s">
        <v>192</v>
      </c>
      <c r="C327" s="0" t="s">
        <v>193</v>
      </c>
      <c r="D327" s="0" t="s">
        <v>74</v>
      </c>
      <c r="E327" s="0" t="n">
        <v>208231</v>
      </c>
      <c r="F327" s="0" t="n">
        <v>19143</v>
      </c>
      <c r="G327" s="0" t="n">
        <v>19175</v>
      </c>
      <c r="H327" s="0" t="n">
        <v>17241</v>
      </c>
    </row>
    <row r="328" customFormat="false" ht="15" hidden="false" customHeight="false" outlineLevel="0" collapsed="false">
      <c r="A328" s="0" t="n">
        <v>2019</v>
      </c>
      <c r="B328" s="0" t="s">
        <v>102</v>
      </c>
      <c r="C328" s="0" t="s">
        <v>103</v>
      </c>
      <c r="D328" s="0" t="s">
        <v>73</v>
      </c>
      <c r="E328" s="0" t="n">
        <v>255635</v>
      </c>
      <c r="F328" s="0" t="n">
        <v>21225</v>
      </c>
      <c r="G328" s="0" t="n">
        <v>20026</v>
      </c>
      <c r="H328" s="0" t="n">
        <v>17700</v>
      </c>
    </row>
    <row r="329" customFormat="false" ht="15" hidden="false" customHeight="false" outlineLevel="0" collapsed="false">
      <c r="A329" s="0" t="n">
        <v>2019</v>
      </c>
      <c r="B329" s="0" t="s">
        <v>107</v>
      </c>
      <c r="C329" s="0" t="s">
        <v>108</v>
      </c>
      <c r="D329" s="0" t="s">
        <v>72</v>
      </c>
      <c r="E329" s="0" t="n">
        <v>157824</v>
      </c>
      <c r="F329" s="0" t="n">
        <v>21154</v>
      </c>
      <c r="G329" s="0" t="n">
        <v>20575</v>
      </c>
      <c r="H329" s="0" t="n">
        <v>17686</v>
      </c>
    </row>
    <row r="330" customFormat="false" ht="15" hidden="false" customHeight="false" outlineLevel="0" collapsed="false">
      <c r="A330" s="0" t="n">
        <v>2019</v>
      </c>
      <c r="B330" s="0" t="s">
        <v>109</v>
      </c>
      <c r="C330" s="0" t="s">
        <v>110</v>
      </c>
      <c r="D330" s="0" t="s">
        <v>74</v>
      </c>
      <c r="E330" s="0" t="n">
        <v>264743</v>
      </c>
      <c r="F330" s="0" t="n">
        <v>16537</v>
      </c>
      <c r="G330" s="0" t="n">
        <v>17298</v>
      </c>
      <c r="H330" s="0" t="n">
        <v>14492</v>
      </c>
    </row>
    <row r="331" customFormat="false" ht="15" hidden="false" customHeight="false" outlineLevel="0" collapsed="false">
      <c r="A331" s="0" t="n">
        <v>2019</v>
      </c>
      <c r="B331" s="0" t="s">
        <v>112</v>
      </c>
      <c r="C331" s="0" t="s">
        <v>113</v>
      </c>
      <c r="D331" s="0" t="s">
        <v>74</v>
      </c>
      <c r="E331" s="0" t="n">
        <v>815312</v>
      </c>
      <c r="F331" s="0" t="n">
        <v>18333</v>
      </c>
      <c r="G331" s="0" t="n">
        <v>17761</v>
      </c>
      <c r="H331" s="0" t="n">
        <v>17218</v>
      </c>
    </row>
    <row r="332" customFormat="false" ht="15" hidden="false" customHeight="false" outlineLevel="0" collapsed="false">
      <c r="A332" s="0" t="n">
        <v>2019</v>
      </c>
      <c r="B332" s="0" t="s">
        <v>122</v>
      </c>
      <c r="C332" s="0" t="s">
        <v>123</v>
      </c>
      <c r="D332" s="0" t="s">
        <v>72</v>
      </c>
      <c r="E332" s="0" t="n">
        <v>799556</v>
      </c>
      <c r="F332" s="0" t="n">
        <v>23729</v>
      </c>
      <c r="G332" s="0" t="n">
        <v>23426</v>
      </c>
      <c r="H332" s="0" t="n">
        <v>18565</v>
      </c>
    </row>
    <row r="333" customFormat="false" ht="15" hidden="false" customHeight="false" outlineLevel="0" collapsed="false">
      <c r="A333" s="0" t="n">
        <v>2019</v>
      </c>
      <c r="B333" s="0" t="s">
        <v>125</v>
      </c>
      <c r="C333" s="0" t="s">
        <v>126</v>
      </c>
      <c r="D333" s="0" t="s">
        <v>72</v>
      </c>
      <c r="E333" s="0" t="n">
        <v>134667</v>
      </c>
      <c r="F333" s="0" t="n">
        <v>22154</v>
      </c>
      <c r="G333" s="0" t="n">
        <v>22187</v>
      </c>
      <c r="H333" s="0" t="n">
        <v>18283</v>
      </c>
    </row>
    <row r="334" customFormat="false" ht="15" hidden="false" customHeight="false" outlineLevel="0" collapsed="false">
      <c r="A334" s="0" t="n">
        <v>2019</v>
      </c>
      <c r="B334" s="0" t="s">
        <v>117</v>
      </c>
      <c r="C334" s="0" t="s">
        <v>118</v>
      </c>
      <c r="D334" s="0" t="s">
        <v>72</v>
      </c>
      <c r="E334" s="0" t="n">
        <v>162414</v>
      </c>
      <c r="F334" s="0" t="n">
        <v>22012</v>
      </c>
      <c r="G334" s="0" t="n">
        <v>21271</v>
      </c>
      <c r="H334" s="0" t="n">
        <v>17242</v>
      </c>
    </row>
    <row r="335" customFormat="false" ht="15" hidden="false" customHeight="false" outlineLevel="0" collapsed="false">
      <c r="A335" s="0" t="n">
        <v>2019</v>
      </c>
      <c r="B335" s="0" t="s">
        <v>120</v>
      </c>
      <c r="C335" s="0" t="s">
        <v>121</v>
      </c>
      <c r="D335" s="0" t="s">
        <v>74</v>
      </c>
      <c r="E335" s="0" t="n">
        <v>177932</v>
      </c>
      <c r="F335" s="0" t="n">
        <v>16083</v>
      </c>
      <c r="G335" s="0" t="n">
        <v>16913</v>
      </c>
      <c r="H335" s="0" t="n">
        <v>14249</v>
      </c>
    </row>
    <row r="336" customFormat="false" ht="15" hidden="false" customHeight="false" outlineLevel="0" collapsed="false">
      <c r="A336" s="0" t="n">
        <v>2019</v>
      </c>
      <c r="B336" s="0" t="s">
        <v>127</v>
      </c>
      <c r="C336" s="0" t="s">
        <v>128</v>
      </c>
      <c r="D336" s="0" t="s">
        <v>72</v>
      </c>
      <c r="E336" s="0" t="n">
        <v>785263</v>
      </c>
      <c r="F336" s="0" t="n">
        <v>26208</v>
      </c>
      <c r="G336" s="0" t="n">
        <v>24314</v>
      </c>
      <c r="H336" s="0" t="n">
        <v>21097</v>
      </c>
    </row>
    <row r="337" customFormat="false" ht="15" hidden="false" customHeight="false" outlineLevel="0" collapsed="false">
      <c r="A337" s="0" t="n">
        <v>2019</v>
      </c>
      <c r="B337" s="0" t="s">
        <v>135</v>
      </c>
      <c r="C337" s="0" t="s">
        <v>136</v>
      </c>
      <c r="D337" s="0" t="s">
        <v>74</v>
      </c>
      <c r="E337" s="0" t="n">
        <v>259430</v>
      </c>
      <c r="F337" s="0" t="n">
        <v>16374</v>
      </c>
      <c r="G337" s="0" t="n">
        <v>15815</v>
      </c>
      <c r="H337" s="0" t="n">
        <v>15669</v>
      </c>
    </row>
    <row r="338" customFormat="false" ht="15" hidden="false" customHeight="false" outlineLevel="0" collapsed="false">
      <c r="A338" s="0" t="n">
        <v>2019</v>
      </c>
      <c r="B338" s="0" t="s">
        <v>133</v>
      </c>
      <c r="C338" s="0" t="s">
        <v>134</v>
      </c>
      <c r="D338" s="0" t="s">
        <v>72</v>
      </c>
      <c r="E338" s="0" t="n">
        <v>905453</v>
      </c>
      <c r="F338" s="0" t="n">
        <v>22967</v>
      </c>
      <c r="G338" s="0" t="n">
        <v>22341</v>
      </c>
      <c r="H338" s="0" t="n">
        <v>17785</v>
      </c>
    </row>
    <row r="339" customFormat="false" ht="15" hidden="false" customHeight="false" outlineLevel="0" collapsed="false">
      <c r="A339" s="0" t="n">
        <v>2019</v>
      </c>
      <c r="B339" s="0" t="s">
        <v>115</v>
      </c>
      <c r="C339" s="0" t="s">
        <v>116</v>
      </c>
      <c r="D339" s="0" t="s">
        <v>74</v>
      </c>
      <c r="E339" s="0" t="n">
        <v>235552</v>
      </c>
      <c r="F339" s="0" t="n">
        <v>15408</v>
      </c>
      <c r="G339" s="0" t="n">
        <v>15024</v>
      </c>
      <c r="H339" s="0" t="n">
        <v>14862</v>
      </c>
    </row>
    <row r="340" customFormat="false" ht="15" hidden="false" customHeight="false" outlineLevel="0" collapsed="false">
      <c r="A340" s="0" t="n">
        <v>2019</v>
      </c>
      <c r="B340" s="0" t="s">
        <v>130</v>
      </c>
      <c r="C340" s="0" t="s">
        <v>131</v>
      </c>
      <c r="D340" s="0" t="s">
        <v>72</v>
      </c>
      <c r="E340" s="0" t="n">
        <v>438477</v>
      </c>
      <c r="F340" s="0" t="n">
        <v>24962</v>
      </c>
      <c r="G340" s="0" t="n">
        <v>21824</v>
      </c>
      <c r="H340" s="0" t="n">
        <v>18783</v>
      </c>
    </row>
    <row r="341" customFormat="false" ht="15" hidden="false" customHeight="false" outlineLevel="0" collapsed="false">
      <c r="A341" s="0" t="n">
        <v>2019</v>
      </c>
      <c r="B341" s="0" t="s">
        <v>137</v>
      </c>
      <c r="C341" s="0" t="s">
        <v>138</v>
      </c>
      <c r="D341" s="0" t="s">
        <v>75</v>
      </c>
      <c r="E341" s="0" t="n">
        <v>278812</v>
      </c>
      <c r="F341" s="0" t="n">
        <v>21958</v>
      </c>
      <c r="G341" s="0" t="n">
        <v>20530</v>
      </c>
      <c r="H341" s="0" t="n">
        <v>20686</v>
      </c>
    </row>
    <row r="342" customFormat="false" ht="15" hidden="false" customHeight="false" outlineLevel="0" collapsed="false">
      <c r="A342" s="0" t="n">
        <v>2019</v>
      </c>
      <c r="B342" s="0" t="s">
        <v>142</v>
      </c>
      <c r="C342" s="0" t="s">
        <v>143</v>
      </c>
      <c r="D342" s="0" t="s">
        <v>74</v>
      </c>
      <c r="E342" s="0" t="n">
        <v>151485</v>
      </c>
      <c r="F342" s="0" t="n">
        <v>16705</v>
      </c>
      <c r="G342" s="0" t="n">
        <v>17739</v>
      </c>
      <c r="H342" s="0" t="n">
        <v>14506</v>
      </c>
    </row>
    <row r="343" customFormat="false" ht="15" hidden="false" customHeight="false" outlineLevel="0" collapsed="false">
      <c r="A343" s="0" t="n">
        <v>2019</v>
      </c>
      <c r="B343" s="0" t="s">
        <v>145</v>
      </c>
      <c r="C343" s="0" t="s">
        <v>146</v>
      </c>
      <c r="D343" s="0" t="s">
        <v>74</v>
      </c>
      <c r="E343" s="0" t="n">
        <v>507901</v>
      </c>
      <c r="F343" s="0" t="n">
        <v>17020</v>
      </c>
      <c r="G343" s="0" t="n">
        <v>16653</v>
      </c>
      <c r="H343" s="0" t="n">
        <v>16008</v>
      </c>
    </row>
    <row r="344" customFormat="false" ht="15" hidden="false" customHeight="false" outlineLevel="0" collapsed="false">
      <c r="A344" s="0" t="n">
        <v>2019</v>
      </c>
      <c r="B344" s="0" t="s">
        <v>152</v>
      </c>
      <c r="C344" s="0" t="s">
        <v>153</v>
      </c>
      <c r="D344" s="0" t="s">
        <v>74</v>
      </c>
      <c r="E344" s="0" t="n">
        <v>269619</v>
      </c>
      <c r="F344" s="0" t="n">
        <v>17994</v>
      </c>
      <c r="G344" s="0" t="n">
        <v>18884</v>
      </c>
      <c r="H344" s="0" t="n">
        <v>15274</v>
      </c>
    </row>
    <row r="345" customFormat="false" ht="15" hidden="false" customHeight="false" outlineLevel="0" collapsed="false">
      <c r="A345" s="0" t="n">
        <v>2019</v>
      </c>
      <c r="B345" s="0" t="s">
        <v>140</v>
      </c>
      <c r="C345" s="0" t="s">
        <v>141</v>
      </c>
      <c r="D345" s="0" t="s">
        <v>75</v>
      </c>
      <c r="E345" s="0" t="n">
        <v>150957</v>
      </c>
      <c r="F345" s="0" t="n">
        <v>15683</v>
      </c>
      <c r="G345" s="0" t="n">
        <v>16889</v>
      </c>
      <c r="H345" s="0" t="n">
        <v>14477</v>
      </c>
    </row>
    <row r="346" customFormat="false" ht="15" hidden="false" customHeight="false" outlineLevel="0" collapsed="false">
      <c r="A346" s="0" t="n">
        <v>2019</v>
      </c>
      <c r="B346" s="0" t="s">
        <v>163</v>
      </c>
      <c r="C346" s="0" t="s">
        <v>164</v>
      </c>
      <c r="D346" s="0" t="s">
        <v>72</v>
      </c>
      <c r="E346" s="0" t="n">
        <v>444535</v>
      </c>
      <c r="F346" s="0" t="n">
        <v>21911</v>
      </c>
      <c r="G346" s="0" t="n">
        <v>20997</v>
      </c>
      <c r="H346" s="0" t="n">
        <v>17573</v>
      </c>
    </row>
    <row r="347" customFormat="false" ht="15" hidden="false" customHeight="false" outlineLevel="0" collapsed="false">
      <c r="A347" s="0" t="n">
        <v>2019</v>
      </c>
      <c r="B347" s="0" t="s">
        <v>155</v>
      </c>
      <c r="C347" s="0" t="s">
        <v>156</v>
      </c>
      <c r="D347" s="0" t="s">
        <v>72</v>
      </c>
      <c r="E347" s="0" t="n">
        <v>428241</v>
      </c>
      <c r="F347" s="0" t="n">
        <v>23736</v>
      </c>
      <c r="G347" s="0" t="n">
        <v>23778</v>
      </c>
      <c r="H347" s="0" t="n">
        <v>18446</v>
      </c>
    </row>
    <row r="348" customFormat="false" ht="15" hidden="false" customHeight="false" outlineLevel="0" collapsed="false">
      <c r="A348" s="0" t="n">
        <v>2019</v>
      </c>
      <c r="B348" s="0" t="s">
        <v>159</v>
      </c>
      <c r="C348" s="0" t="s">
        <v>160</v>
      </c>
      <c r="D348" s="0" t="s">
        <v>72</v>
      </c>
      <c r="E348" s="0" t="n">
        <v>263993</v>
      </c>
      <c r="F348" s="0" t="n">
        <v>23205</v>
      </c>
      <c r="G348" s="0" t="n">
        <v>22858</v>
      </c>
      <c r="H348" s="0" t="n">
        <v>18582</v>
      </c>
    </row>
    <row r="349" customFormat="false" ht="15" hidden="false" customHeight="false" outlineLevel="0" collapsed="false">
      <c r="A349" s="0" t="n">
        <v>2019</v>
      </c>
      <c r="B349" s="0" t="s">
        <v>157</v>
      </c>
      <c r="C349" s="0" t="s">
        <v>158</v>
      </c>
      <c r="D349" s="0" t="s">
        <v>74</v>
      </c>
      <c r="E349" s="0" t="n">
        <v>436134</v>
      </c>
      <c r="F349" s="0" t="n">
        <v>15136</v>
      </c>
      <c r="G349" s="0" t="n">
        <v>14686</v>
      </c>
      <c r="H349" s="0" t="n">
        <v>14614</v>
      </c>
    </row>
    <row r="350" customFormat="false" ht="15" hidden="false" customHeight="false" outlineLevel="0" collapsed="false">
      <c r="A350" s="0" t="n">
        <v>2019</v>
      </c>
      <c r="B350" s="0" t="s">
        <v>147</v>
      </c>
      <c r="C350" s="0" t="s">
        <v>148</v>
      </c>
      <c r="D350" s="0" t="s">
        <v>75</v>
      </c>
      <c r="E350" s="0" t="n">
        <v>603492</v>
      </c>
      <c r="F350" s="0" t="n">
        <v>17567</v>
      </c>
      <c r="G350" s="0" t="n">
        <v>17292</v>
      </c>
      <c r="H350" s="0" t="n">
        <v>16302</v>
      </c>
    </row>
    <row r="351" customFormat="false" ht="15" hidden="false" customHeight="false" outlineLevel="0" collapsed="false">
      <c r="A351" s="0" t="n">
        <v>2019</v>
      </c>
      <c r="B351" s="0" t="s">
        <v>149</v>
      </c>
      <c r="C351" s="0" t="s">
        <v>150</v>
      </c>
      <c r="D351" s="0" t="s">
        <v>74</v>
      </c>
      <c r="E351" s="0" t="n">
        <v>216890</v>
      </c>
      <c r="F351" s="0" t="n">
        <v>16533</v>
      </c>
      <c r="G351" s="0" t="n">
        <v>16382</v>
      </c>
      <c r="H351" s="0" t="n">
        <v>15315</v>
      </c>
    </row>
    <row r="352" customFormat="false" ht="15" hidden="false" customHeight="false" outlineLevel="0" collapsed="false">
      <c r="A352" s="0" t="n">
        <v>2019</v>
      </c>
      <c r="B352" s="0" t="s">
        <v>165</v>
      </c>
      <c r="C352" s="0" t="s">
        <v>166</v>
      </c>
      <c r="D352" s="0" t="s">
        <v>75</v>
      </c>
      <c r="E352" s="0" t="n">
        <v>99194</v>
      </c>
      <c r="F352" s="0" t="n">
        <v>15151</v>
      </c>
      <c r="G352" s="0" t="n">
        <v>16585</v>
      </c>
      <c r="H352" s="0" t="n">
        <v>13397</v>
      </c>
    </row>
    <row r="353" customFormat="false" ht="15" hidden="false" customHeight="false" outlineLevel="0" collapsed="false">
      <c r="A353" s="0" t="n">
        <v>2019</v>
      </c>
      <c r="B353" s="0" t="s">
        <v>175</v>
      </c>
      <c r="C353" s="0" t="s">
        <v>176</v>
      </c>
      <c r="D353" s="0" t="s">
        <v>72</v>
      </c>
      <c r="E353" s="0" t="n">
        <v>306773</v>
      </c>
      <c r="F353" s="0" t="n">
        <v>21621</v>
      </c>
      <c r="G353" s="0" t="n">
        <v>20263</v>
      </c>
      <c r="H353" s="0" t="n">
        <v>17441</v>
      </c>
    </row>
    <row r="354" customFormat="false" ht="15" hidden="false" customHeight="false" outlineLevel="0" collapsed="false">
      <c r="A354" s="0" t="n">
        <v>2019</v>
      </c>
      <c r="B354" s="0" t="s">
        <v>169</v>
      </c>
      <c r="C354" s="0" t="s">
        <v>170</v>
      </c>
      <c r="D354" s="0" t="s">
        <v>72</v>
      </c>
      <c r="E354" s="0" t="n">
        <v>272310</v>
      </c>
      <c r="F354" s="0" t="n">
        <v>21558</v>
      </c>
      <c r="G354" s="0" t="n">
        <v>20697</v>
      </c>
      <c r="H354" s="0" t="n">
        <v>18110</v>
      </c>
    </row>
    <row r="355" customFormat="false" ht="15" hidden="false" customHeight="false" outlineLevel="0" collapsed="false">
      <c r="A355" s="0" t="n">
        <v>2019</v>
      </c>
      <c r="B355" s="0" t="s">
        <v>173</v>
      </c>
      <c r="C355" s="0" t="s">
        <v>174</v>
      </c>
      <c r="D355" s="0" t="s">
        <v>74</v>
      </c>
      <c r="E355" s="0" t="n">
        <v>388739</v>
      </c>
      <c r="F355" s="0" t="n">
        <v>15513</v>
      </c>
      <c r="G355" s="0" t="n">
        <v>15144</v>
      </c>
      <c r="H355" s="0" t="n">
        <v>15034</v>
      </c>
    </row>
    <row r="356" customFormat="false" ht="15" hidden="false" customHeight="false" outlineLevel="0" collapsed="false">
      <c r="A356" s="0" t="n">
        <v>2019</v>
      </c>
      <c r="B356" s="0" t="s">
        <v>171</v>
      </c>
      <c r="C356" s="0" t="s">
        <v>172</v>
      </c>
      <c r="D356" s="0" t="s">
        <v>73</v>
      </c>
      <c r="E356" s="0" t="n">
        <v>752013</v>
      </c>
      <c r="F356" s="0" t="n">
        <v>24439</v>
      </c>
      <c r="G356" s="0" t="n">
        <v>22186</v>
      </c>
      <c r="H356" s="0" t="n">
        <v>19838</v>
      </c>
    </row>
    <row r="357" customFormat="false" ht="15" hidden="false" customHeight="false" outlineLevel="0" collapsed="false">
      <c r="A357" s="0" t="n">
        <v>2019</v>
      </c>
      <c r="B357" s="0" t="s">
        <v>167</v>
      </c>
      <c r="C357" s="0" t="s">
        <v>168</v>
      </c>
      <c r="D357" s="0" t="s">
        <v>73</v>
      </c>
      <c r="E357" s="0" t="n">
        <v>125770</v>
      </c>
      <c r="F357" s="0" t="n">
        <v>18955</v>
      </c>
      <c r="G357" s="0" t="n">
        <v>17728</v>
      </c>
      <c r="H357" s="0" t="n">
        <v>14853</v>
      </c>
    </row>
    <row r="358" customFormat="false" ht="15" hidden="false" customHeight="false" outlineLevel="0" collapsed="false">
      <c r="A358" s="0" t="n">
        <v>2019</v>
      </c>
      <c r="B358" s="0" t="s">
        <v>177</v>
      </c>
      <c r="C358" s="0" t="s">
        <v>178</v>
      </c>
      <c r="D358" s="0" t="s">
        <v>73</v>
      </c>
      <c r="E358" s="0" t="n">
        <v>312828</v>
      </c>
      <c r="F358" s="0" t="n">
        <v>18098</v>
      </c>
      <c r="G358" s="0" t="n">
        <v>18641</v>
      </c>
      <c r="H358" s="0" t="n">
        <v>16019</v>
      </c>
    </row>
    <row r="359" customFormat="false" ht="15" hidden="false" customHeight="false" outlineLevel="0" collapsed="false">
      <c r="A359" s="0" t="n">
        <v>2019</v>
      </c>
      <c r="B359" s="0" t="s">
        <v>180</v>
      </c>
      <c r="C359" s="0" t="s">
        <v>181</v>
      </c>
      <c r="D359" s="0" t="s">
        <v>72</v>
      </c>
      <c r="E359" s="0" t="n">
        <v>662354</v>
      </c>
      <c r="F359" s="0" t="n">
        <v>23854</v>
      </c>
      <c r="G359" s="0" t="n">
        <v>21886</v>
      </c>
      <c r="H359" s="0" t="n">
        <v>20796</v>
      </c>
    </row>
    <row r="360" customFormat="false" ht="15" hidden="false" customHeight="false" outlineLevel="0" collapsed="false">
      <c r="A360" s="0" t="n">
        <v>2019</v>
      </c>
      <c r="B360" s="0" t="s">
        <v>183</v>
      </c>
      <c r="C360" s="0" t="s">
        <v>184</v>
      </c>
      <c r="D360" s="0" t="s">
        <v>72</v>
      </c>
      <c r="E360" s="0" t="n">
        <v>109717</v>
      </c>
      <c r="F360" s="0" t="n">
        <v>21545</v>
      </c>
      <c r="G360" s="0" t="n">
        <v>20568</v>
      </c>
      <c r="H360" s="0" t="n">
        <v>19171</v>
      </c>
    </row>
    <row r="361" customFormat="false" ht="15" hidden="false" customHeight="false" outlineLevel="0" collapsed="false">
      <c r="A361" s="0" t="n">
        <v>2019</v>
      </c>
      <c r="B361" s="0" t="s">
        <v>186</v>
      </c>
      <c r="C361" s="0" t="s">
        <v>187</v>
      </c>
      <c r="D361" s="0" t="s">
        <v>73</v>
      </c>
      <c r="E361" s="0" t="n">
        <v>165974</v>
      </c>
      <c r="F361" s="0" t="n">
        <v>19897</v>
      </c>
      <c r="G361" s="0" t="n">
        <v>18392</v>
      </c>
      <c r="H361" s="0" t="n">
        <v>17927</v>
      </c>
    </row>
    <row r="362" customFormat="false" ht="15" hidden="false" customHeight="false" outlineLevel="0" collapsed="false">
      <c r="A362" s="0" t="n">
        <v>2019</v>
      </c>
      <c r="B362" s="0" t="s">
        <v>188</v>
      </c>
      <c r="C362" s="0" t="s">
        <v>189</v>
      </c>
      <c r="D362" s="0" t="s">
        <v>72</v>
      </c>
      <c r="E362" s="0" t="n">
        <v>153254</v>
      </c>
      <c r="F362" s="0" t="n">
        <v>19598</v>
      </c>
      <c r="G362" s="0" t="n">
        <v>17583</v>
      </c>
      <c r="H362" s="0" t="n">
        <v>16617</v>
      </c>
    </row>
    <row r="363" customFormat="false" ht="15" hidden="false" customHeight="false" outlineLevel="0" collapsed="false">
      <c r="A363" s="0" t="n">
        <v>2019</v>
      </c>
      <c r="B363" s="0" t="s">
        <v>190</v>
      </c>
      <c r="C363" s="0" t="s">
        <v>191</v>
      </c>
      <c r="D363" s="0" t="s">
        <v>74</v>
      </c>
      <c r="E363" s="0" t="n">
        <v>59636</v>
      </c>
      <c r="F363" s="0" t="n">
        <v>16404</v>
      </c>
      <c r="G363" s="0" t="n">
        <v>17564</v>
      </c>
      <c r="H363" s="0" t="n">
        <v>14361</v>
      </c>
    </row>
    <row r="364" customFormat="false" ht="15" hidden="false" customHeight="false" outlineLevel="0" collapsed="false">
      <c r="A364" s="0" t="n">
        <v>2019</v>
      </c>
      <c r="B364" s="0" t="s">
        <v>161</v>
      </c>
      <c r="C364" s="0" t="s">
        <v>162</v>
      </c>
      <c r="D364" s="0" t="s">
        <v>74</v>
      </c>
      <c r="E364" s="0" t="n">
        <v>95103</v>
      </c>
      <c r="F364" s="0" t="n">
        <v>14529</v>
      </c>
      <c r="G364" s="0" t="n">
        <v>14051</v>
      </c>
      <c r="H364" s="0" t="n">
        <v>13777</v>
      </c>
    </row>
    <row r="365" customFormat="false" ht="15" hidden="false" customHeight="false" outlineLevel="0" collapsed="false">
      <c r="A365" s="0" t="n">
        <v>2019</v>
      </c>
      <c r="B365" s="0" t="s">
        <v>200</v>
      </c>
      <c r="C365" s="0" t="s">
        <v>201</v>
      </c>
      <c r="D365" s="0" t="s">
        <v>72</v>
      </c>
      <c r="E365" s="0" t="n">
        <v>249823</v>
      </c>
      <c r="F365" s="0" t="n">
        <v>25581</v>
      </c>
      <c r="G365" s="0" t="n">
        <v>25093</v>
      </c>
      <c r="H365" s="0" t="n">
        <v>19607</v>
      </c>
    </row>
    <row r="366" customFormat="false" ht="15" hidden="false" customHeight="false" outlineLevel="0" collapsed="false">
      <c r="A366" s="0" t="n">
        <v>2019</v>
      </c>
      <c r="B366" s="0" t="s">
        <v>198</v>
      </c>
      <c r="C366" s="0" t="s">
        <v>199</v>
      </c>
      <c r="D366" s="0" t="s">
        <v>74</v>
      </c>
      <c r="E366" s="0" t="n">
        <v>521588</v>
      </c>
      <c r="F366" s="0" t="n">
        <v>16146</v>
      </c>
      <c r="G366" s="0" t="n">
        <v>15850</v>
      </c>
      <c r="H366" s="0" t="n">
        <v>14929</v>
      </c>
    </row>
    <row r="367" customFormat="false" ht="15" hidden="false" customHeight="false" outlineLevel="0" collapsed="false">
      <c r="A367" s="0" t="n">
        <v>2019</v>
      </c>
      <c r="B367" s="0" t="s">
        <v>202</v>
      </c>
      <c r="C367" s="0" t="s">
        <v>203</v>
      </c>
      <c r="D367" s="0" t="s">
        <v>73</v>
      </c>
      <c r="E367" s="0" t="n">
        <v>244542</v>
      </c>
      <c r="F367" s="0" t="n">
        <v>21971</v>
      </c>
      <c r="G367" s="0" t="n">
        <v>20311</v>
      </c>
      <c r="H367" s="0" t="n">
        <v>19897</v>
      </c>
    </row>
    <row r="368" customFormat="false" ht="15" hidden="false" customHeight="false" outlineLevel="0" collapsed="false">
      <c r="A368" s="0" t="n">
        <v>2019</v>
      </c>
      <c r="B368" s="0" t="s">
        <v>204</v>
      </c>
      <c r="C368" s="0" t="s">
        <v>205</v>
      </c>
      <c r="D368" s="0" t="s">
        <v>72</v>
      </c>
      <c r="E368" s="0" t="n">
        <v>165809</v>
      </c>
      <c r="F368" s="0" t="n">
        <v>23737</v>
      </c>
      <c r="G368" s="0" t="n">
        <v>23490</v>
      </c>
      <c r="H368" s="0" t="n">
        <v>19509</v>
      </c>
    </row>
    <row r="369" customFormat="false" ht="15" hidden="false" customHeight="false" outlineLevel="0" collapsed="false">
      <c r="A369" s="0" t="n">
        <v>2019</v>
      </c>
      <c r="B369" s="0" t="s">
        <v>196</v>
      </c>
      <c r="C369" s="0" t="s">
        <v>197</v>
      </c>
      <c r="D369" s="0" t="s">
        <v>73</v>
      </c>
      <c r="E369" s="0" t="n">
        <v>382235</v>
      </c>
      <c r="F369" s="0" t="n">
        <v>18293</v>
      </c>
      <c r="G369" s="0" t="n">
        <v>17930</v>
      </c>
      <c r="H369" s="0" t="n">
        <v>17000</v>
      </c>
    </row>
    <row r="370" customFormat="false" ht="15" hidden="false" customHeight="false" outlineLevel="0" collapsed="false">
      <c r="A370" s="0" t="n">
        <v>2019</v>
      </c>
      <c r="B370" s="0" t="s">
        <v>206</v>
      </c>
      <c r="C370" s="0" t="s">
        <v>207</v>
      </c>
      <c r="D370" s="0" t="s">
        <v>73</v>
      </c>
      <c r="E370" s="0" t="n">
        <v>282440</v>
      </c>
      <c r="F370" s="0" t="n">
        <v>21925</v>
      </c>
      <c r="G370" s="0" t="n">
        <v>20722</v>
      </c>
      <c r="H370" s="0" t="n">
        <v>17730</v>
      </c>
    </row>
    <row r="371" customFormat="false" ht="15" hidden="false" customHeight="false" outlineLevel="0" collapsed="false">
      <c r="A371" s="0" t="n">
        <v>2019</v>
      </c>
      <c r="B371" s="0" t="s">
        <v>222</v>
      </c>
      <c r="C371" s="0" t="s">
        <v>223</v>
      </c>
      <c r="D371" s="0" t="s">
        <v>72</v>
      </c>
      <c r="E371" s="0" t="n">
        <v>637357</v>
      </c>
      <c r="F371" s="0" t="n">
        <v>26137</v>
      </c>
      <c r="G371" s="0" t="n">
        <v>26193</v>
      </c>
      <c r="H371" s="0" t="n">
        <v>20260</v>
      </c>
    </row>
    <row r="372" customFormat="false" ht="15" hidden="false" customHeight="false" outlineLevel="0" collapsed="false">
      <c r="A372" s="0" t="n">
        <v>2019</v>
      </c>
      <c r="B372" s="0" t="s">
        <v>208</v>
      </c>
      <c r="C372" s="0" t="s">
        <v>209</v>
      </c>
      <c r="D372" s="0" t="s">
        <v>73</v>
      </c>
      <c r="E372" s="0" t="n">
        <v>231677</v>
      </c>
      <c r="F372" s="0" t="n">
        <v>20025</v>
      </c>
      <c r="G372" s="0" t="n">
        <v>18838</v>
      </c>
      <c r="H372" s="0" t="n">
        <v>16532</v>
      </c>
    </row>
    <row r="373" customFormat="false" ht="15" hidden="false" customHeight="false" outlineLevel="0" collapsed="false">
      <c r="A373" s="0" t="n">
        <v>2019</v>
      </c>
      <c r="B373" s="0" t="s">
        <v>217</v>
      </c>
      <c r="C373" s="0" t="s">
        <v>218</v>
      </c>
      <c r="D373" s="0" t="s">
        <v>75</v>
      </c>
      <c r="E373" s="0" t="n">
        <v>388407</v>
      </c>
      <c r="F373" s="0" t="n">
        <v>17509</v>
      </c>
      <c r="G373" s="0" t="n">
        <v>16991</v>
      </c>
      <c r="H373" s="0" t="n">
        <v>16552</v>
      </c>
    </row>
    <row r="374" customFormat="false" ht="15" hidden="false" customHeight="false" outlineLevel="0" collapsed="false">
      <c r="A374" s="0" t="n">
        <v>2019</v>
      </c>
      <c r="B374" s="0" t="s">
        <v>219</v>
      </c>
      <c r="C374" s="0" t="s">
        <v>50</v>
      </c>
      <c r="D374" s="0" t="s">
        <v>72</v>
      </c>
      <c r="E374" s="0" t="n">
        <v>2393047</v>
      </c>
      <c r="F374" s="0" t="n">
        <v>29815</v>
      </c>
      <c r="G374" s="0" t="n">
        <v>28845</v>
      </c>
      <c r="H374" s="0" t="n">
        <v>22399</v>
      </c>
    </row>
    <row r="375" customFormat="false" ht="15" hidden="false" customHeight="false" outlineLevel="0" collapsed="false">
      <c r="A375" s="0" t="n">
        <v>2019</v>
      </c>
      <c r="B375" s="0" t="s">
        <v>210</v>
      </c>
      <c r="C375" s="0" t="s">
        <v>211</v>
      </c>
      <c r="D375" s="0" t="s">
        <v>72</v>
      </c>
      <c r="E375" s="0" t="n">
        <v>301435</v>
      </c>
      <c r="F375" s="0" t="n">
        <v>22240</v>
      </c>
      <c r="G375" s="0" t="n">
        <v>21659</v>
      </c>
      <c r="H375" s="0" t="n">
        <v>17581</v>
      </c>
    </row>
    <row r="376" customFormat="false" ht="15" hidden="false" customHeight="false" outlineLevel="0" collapsed="false">
      <c r="A376" s="0" t="n">
        <v>2019</v>
      </c>
      <c r="B376" s="0" t="s">
        <v>220</v>
      </c>
      <c r="C376" s="0" t="s">
        <v>221</v>
      </c>
      <c r="D376" s="0" t="s">
        <v>72</v>
      </c>
      <c r="E376" s="0" t="n">
        <v>530969</v>
      </c>
      <c r="F376" s="0" t="n">
        <v>24696</v>
      </c>
      <c r="G376" s="0" t="n">
        <v>23696</v>
      </c>
      <c r="H376" s="0" t="n">
        <v>19139</v>
      </c>
    </row>
    <row r="377" customFormat="false" ht="15" hidden="false" customHeight="false" outlineLevel="0" collapsed="false">
      <c r="A377" s="0" t="n">
        <v>2019</v>
      </c>
      <c r="B377" s="0" t="s">
        <v>212</v>
      </c>
      <c r="C377" s="0" t="s">
        <v>213</v>
      </c>
      <c r="D377" s="0" t="s">
        <v>73</v>
      </c>
      <c r="E377" s="0" t="n">
        <v>138595</v>
      </c>
      <c r="F377" s="0" t="n">
        <v>20810</v>
      </c>
      <c r="G377" s="0" t="n">
        <v>19964</v>
      </c>
      <c r="H377" s="0" t="n">
        <v>18129</v>
      </c>
    </row>
    <row r="378" customFormat="false" ht="15" hidden="false" customHeight="false" outlineLevel="0" collapsed="false">
      <c r="A378" s="0" t="n">
        <v>2019</v>
      </c>
      <c r="B378" s="0" t="s">
        <v>214</v>
      </c>
      <c r="C378" s="0" t="s">
        <v>215</v>
      </c>
      <c r="D378" s="0" t="s">
        <v>74</v>
      </c>
      <c r="E378" s="0" t="n">
        <v>133535</v>
      </c>
      <c r="F378" s="0" t="n">
        <v>16596</v>
      </c>
      <c r="G378" s="0" t="n">
        <v>16182</v>
      </c>
      <c r="H378" s="0" t="n">
        <v>15590</v>
      </c>
    </row>
    <row r="379" customFormat="false" ht="15" hidden="false" customHeight="false" outlineLevel="0" collapsed="false">
      <c r="A379" s="0" t="n">
        <v>2019</v>
      </c>
      <c r="B379" s="0" t="s">
        <v>224</v>
      </c>
      <c r="C379" s="0" t="s">
        <v>51</v>
      </c>
      <c r="D379" s="0" t="s">
        <v>74</v>
      </c>
      <c r="E379" s="0" t="n">
        <v>1602516</v>
      </c>
      <c r="F379" s="0" t="n">
        <v>18827</v>
      </c>
      <c r="G379" s="0" t="n">
        <v>17766</v>
      </c>
      <c r="H379" s="0" t="n">
        <v>17606</v>
      </c>
    </row>
    <row r="380" customFormat="false" ht="15" hidden="false" customHeight="false" outlineLevel="0" collapsed="false">
      <c r="A380" s="0" t="n">
        <v>2019</v>
      </c>
      <c r="B380" s="0" t="s">
        <v>225</v>
      </c>
      <c r="C380" s="0" t="s">
        <v>226</v>
      </c>
      <c r="D380" s="0" t="s">
        <v>72</v>
      </c>
      <c r="E380" s="0" t="n">
        <v>267863</v>
      </c>
      <c r="F380" s="0" t="n">
        <v>23943</v>
      </c>
      <c r="G380" s="0" t="n">
        <v>23318</v>
      </c>
      <c r="H380" s="0" t="n">
        <v>19558</v>
      </c>
    </row>
    <row r="381" customFormat="false" ht="15" hidden="false" customHeight="false" outlineLevel="0" collapsed="false">
      <c r="A381" s="0" t="n">
        <v>2019</v>
      </c>
      <c r="B381" s="0" t="s">
        <v>227</v>
      </c>
      <c r="C381" s="0" t="s">
        <v>228</v>
      </c>
      <c r="D381" s="0" t="s">
        <v>75</v>
      </c>
      <c r="E381" s="0" t="n">
        <v>139760</v>
      </c>
      <c r="F381" s="0" t="n">
        <v>16339</v>
      </c>
      <c r="G381" s="0" t="n">
        <v>16253</v>
      </c>
      <c r="H381" s="0" t="n">
        <v>15127</v>
      </c>
    </row>
    <row r="382" customFormat="false" ht="15" hidden="false" customHeight="false" outlineLevel="0" collapsed="false">
      <c r="A382" s="0" t="n">
        <v>2019</v>
      </c>
      <c r="B382" s="0" t="s">
        <v>229</v>
      </c>
      <c r="C382" s="0" t="s">
        <v>230</v>
      </c>
      <c r="D382" s="0" t="s">
        <v>75</v>
      </c>
      <c r="E382" s="0" t="n">
        <v>104705</v>
      </c>
      <c r="F382" s="0" t="n">
        <v>16537</v>
      </c>
      <c r="G382" s="0" t="n">
        <v>16792</v>
      </c>
      <c r="H382" s="0" t="n">
        <v>15054</v>
      </c>
    </row>
    <row r="383" customFormat="false" ht="15" hidden="false" customHeight="false" outlineLevel="0" collapsed="false">
      <c r="A383" s="0" t="n">
        <v>2019</v>
      </c>
      <c r="B383" s="0" t="s">
        <v>233</v>
      </c>
      <c r="C383" s="0" t="s">
        <v>234</v>
      </c>
      <c r="D383" s="0" t="s">
        <v>75</v>
      </c>
      <c r="E383" s="0" t="n">
        <v>678674</v>
      </c>
      <c r="F383" s="0" t="n">
        <v>18437</v>
      </c>
      <c r="G383" s="0" t="n">
        <v>17880</v>
      </c>
      <c r="H383" s="0" t="n">
        <v>17723</v>
      </c>
    </row>
    <row r="384" customFormat="false" ht="15" hidden="false" customHeight="false" outlineLevel="0" collapsed="false">
      <c r="A384" s="0" t="n">
        <v>2019</v>
      </c>
      <c r="B384" s="0" t="s">
        <v>246</v>
      </c>
      <c r="C384" s="0" t="s">
        <v>247</v>
      </c>
      <c r="D384" s="0" t="s">
        <v>72</v>
      </c>
      <c r="E384" s="0" t="n">
        <v>218885</v>
      </c>
      <c r="F384" s="0" t="n">
        <v>23677</v>
      </c>
      <c r="G384" s="0" t="n">
        <v>22711</v>
      </c>
      <c r="H384" s="0" t="n">
        <v>18803</v>
      </c>
    </row>
    <row r="385" customFormat="false" ht="15" hidden="false" customHeight="false" outlineLevel="0" collapsed="false">
      <c r="A385" s="0" t="n">
        <v>2019</v>
      </c>
      <c r="B385" s="0" t="s">
        <v>231</v>
      </c>
      <c r="C385" s="0" t="s">
        <v>232</v>
      </c>
      <c r="D385" s="0" t="s">
        <v>72</v>
      </c>
      <c r="E385" s="0" t="n">
        <v>684595</v>
      </c>
      <c r="F385" s="0" t="n">
        <v>23827</v>
      </c>
      <c r="G385" s="0" t="n">
        <v>22689</v>
      </c>
      <c r="H385" s="0" t="n">
        <v>18576</v>
      </c>
    </row>
    <row r="386" customFormat="false" ht="15" hidden="false" customHeight="false" outlineLevel="0" collapsed="false">
      <c r="A386" s="0" t="n">
        <v>2019</v>
      </c>
      <c r="B386" s="0" t="s">
        <v>244</v>
      </c>
      <c r="C386" s="0" t="s">
        <v>245</v>
      </c>
      <c r="D386" s="0" t="s">
        <v>74</v>
      </c>
      <c r="E386" s="0" t="n">
        <v>218182</v>
      </c>
      <c r="F386" s="0" t="n">
        <v>19336</v>
      </c>
      <c r="G386" s="0" t="n">
        <v>19166</v>
      </c>
      <c r="H386" s="0" t="n">
        <v>16933</v>
      </c>
    </row>
    <row r="387" customFormat="false" ht="15" hidden="false" customHeight="false" outlineLevel="0" collapsed="false">
      <c r="A387" s="0" t="n">
        <v>2019</v>
      </c>
      <c r="B387" s="0" t="s">
        <v>239</v>
      </c>
      <c r="C387" s="0" t="s">
        <v>240</v>
      </c>
      <c r="D387" s="0" t="s">
        <v>73</v>
      </c>
      <c r="E387" s="0" t="n">
        <v>472388</v>
      </c>
      <c r="F387" s="0" t="n">
        <v>20572</v>
      </c>
      <c r="G387" s="0" t="n">
        <v>19764</v>
      </c>
      <c r="H387" s="0" t="n">
        <v>17612</v>
      </c>
    </row>
    <row r="388" customFormat="false" ht="15" hidden="false" customHeight="false" outlineLevel="0" collapsed="false">
      <c r="A388" s="0" t="n">
        <v>2019</v>
      </c>
      <c r="B388" s="0" t="s">
        <v>248</v>
      </c>
      <c r="C388" s="0" t="s">
        <v>249</v>
      </c>
      <c r="D388" s="0" t="s">
        <v>73</v>
      </c>
      <c r="E388" s="0" t="n">
        <v>303903</v>
      </c>
      <c r="F388" s="0" t="n">
        <v>22854</v>
      </c>
      <c r="G388" s="0" t="n">
        <v>21766</v>
      </c>
      <c r="H388" s="0" t="n">
        <v>18993</v>
      </c>
    </row>
    <row r="389" customFormat="false" ht="15" hidden="false" customHeight="false" outlineLevel="0" collapsed="false">
      <c r="A389" s="0" t="n">
        <v>2019</v>
      </c>
      <c r="B389" s="0" t="s">
        <v>252</v>
      </c>
      <c r="C389" s="0" t="s">
        <v>253</v>
      </c>
      <c r="D389" s="0" t="s">
        <v>72</v>
      </c>
      <c r="E389" s="0" t="n">
        <v>236936</v>
      </c>
      <c r="F389" s="0" t="n">
        <v>22645</v>
      </c>
      <c r="G389" s="0" t="n">
        <v>21878</v>
      </c>
      <c r="H389" s="0" t="n">
        <v>18083</v>
      </c>
    </row>
    <row r="390" customFormat="false" ht="15" hidden="false" customHeight="false" outlineLevel="0" collapsed="false">
      <c r="A390" s="0" t="n">
        <v>2019</v>
      </c>
      <c r="B390" s="0" t="s">
        <v>256</v>
      </c>
      <c r="C390" s="0" t="s">
        <v>257</v>
      </c>
      <c r="D390" s="0" t="s">
        <v>73</v>
      </c>
      <c r="E390" s="0" t="n">
        <v>197066</v>
      </c>
      <c r="F390" s="0" t="n">
        <v>21676</v>
      </c>
      <c r="G390" s="0" t="n">
        <v>19100</v>
      </c>
      <c r="H390" s="0" t="n">
        <v>17728</v>
      </c>
    </row>
    <row r="391" customFormat="false" ht="15" hidden="false" customHeight="false" outlineLevel="0" collapsed="false">
      <c r="A391" s="0" t="n">
        <v>2019</v>
      </c>
      <c r="B391" s="0" t="s">
        <v>235</v>
      </c>
      <c r="C391" s="0" t="s">
        <v>236</v>
      </c>
      <c r="D391" s="0" t="s">
        <v>72</v>
      </c>
      <c r="E391" s="0" t="n">
        <v>339736</v>
      </c>
      <c r="F391" s="0" t="n">
        <v>25514</v>
      </c>
      <c r="G391" s="0" t="n">
        <v>24361</v>
      </c>
      <c r="H391" s="0" t="n">
        <v>19862</v>
      </c>
    </row>
    <row r="392" customFormat="false" ht="15" hidden="false" customHeight="false" outlineLevel="0" collapsed="false">
      <c r="A392" s="0" t="n">
        <v>2019</v>
      </c>
      <c r="B392" s="0" t="s">
        <v>250</v>
      </c>
      <c r="C392" s="0" t="s">
        <v>251</v>
      </c>
      <c r="D392" s="0" t="s">
        <v>73</v>
      </c>
      <c r="E392" s="0" t="n">
        <v>211517</v>
      </c>
      <c r="F392" s="0" t="n">
        <v>20580</v>
      </c>
      <c r="G392" s="0" t="n">
        <v>20004</v>
      </c>
      <c r="H392" s="0" t="n">
        <v>16986</v>
      </c>
    </row>
    <row r="393" customFormat="false" ht="15" hidden="false" customHeight="false" outlineLevel="0" collapsed="false">
      <c r="A393" s="0" t="n">
        <v>2019</v>
      </c>
      <c r="B393" s="0" t="s">
        <v>242</v>
      </c>
      <c r="C393" s="0" t="s">
        <v>243</v>
      </c>
      <c r="D393" s="0" t="s">
        <v>73</v>
      </c>
      <c r="E393" s="0" t="n">
        <v>267663</v>
      </c>
      <c r="F393" s="0" t="n">
        <v>20612</v>
      </c>
      <c r="G393" s="0" t="n">
        <v>19767</v>
      </c>
      <c r="H393" s="0" t="n">
        <v>16611</v>
      </c>
    </row>
    <row r="394" customFormat="false" ht="15" hidden="false" customHeight="false" outlineLevel="0" collapsed="false">
      <c r="A394" s="0" t="n">
        <v>2019</v>
      </c>
      <c r="B394" s="0" t="s">
        <v>237</v>
      </c>
      <c r="C394" s="0" t="s">
        <v>238</v>
      </c>
      <c r="D394" s="0" t="s">
        <v>72</v>
      </c>
      <c r="E394" s="0" t="n">
        <v>401103</v>
      </c>
      <c r="F394" s="0" t="n">
        <v>23139</v>
      </c>
      <c r="G394" s="0" t="n">
        <v>22668</v>
      </c>
      <c r="H394" s="0" t="n">
        <v>19001</v>
      </c>
    </row>
    <row r="395" customFormat="false" ht="15" hidden="false" customHeight="false" outlineLevel="0" collapsed="false">
      <c r="A395" s="0" t="n">
        <v>2019</v>
      </c>
      <c r="B395" s="0" t="s">
        <v>254</v>
      </c>
      <c r="C395" s="0" t="s">
        <v>255</v>
      </c>
      <c r="D395" s="0" t="s">
        <v>74</v>
      </c>
      <c r="E395" s="0" t="n">
        <v>244955</v>
      </c>
      <c r="F395" s="0" t="n">
        <v>16763</v>
      </c>
      <c r="G395" s="0" t="n">
        <v>17588</v>
      </c>
      <c r="H395" s="0" t="n">
        <v>14388</v>
      </c>
    </row>
    <row r="396" customFormat="false" ht="15" hidden="false" customHeight="false" outlineLevel="0" collapsed="false">
      <c r="A396" s="0" t="n">
        <v>2019</v>
      </c>
      <c r="B396" s="0" t="s">
        <v>260</v>
      </c>
      <c r="C396" s="0" t="s">
        <v>261</v>
      </c>
      <c r="D396" s="0" t="s">
        <v>72</v>
      </c>
      <c r="E396" s="0" t="n">
        <v>306489</v>
      </c>
      <c r="F396" s="0" t="n">
        <v>22224</v>
      </c>
      <c r="G396" s="0" t="n">
        <v>20779</v>
      </c>
      <c r="H396" s="0" t="n">
        <v>18567</v>
      </c>
    </row>
    <row r="397" customFormat="false" ht="15" hidden="false" customHeight="false" outlineLevel="0" collapsed="false">
      <c r="A397" s="0" t="n">
        <v>2019</v>
      </c>
      <c r="B397" s="0" t="s">
        <v>262</v>
      </c>
      <c r="C397" s="0" t="s">
        <v>263</v>
      </c>
      <c r="D397" s="0" t="s">
        <v>74</v>
      </c>
      <c r="E397" s="0" t="n">
        <v>329307</v>
      </c>
      <c r="F397" s="0" t="n">
        <v>15940</v>
      </c>
      <c r="G397" s="0" t="n">
        <v>15161</v>
      </c>
      <c r="H397" s="0" t="n">
        <v>15322</v>
      </c>
    </row>
    <row r="398" customFormat="false" ht="15" hidden="false" customHeight="false" outlineLevel="0" collapsed="false">
      <c r="A398" s="0" t="n">
        <v>2019</v>
      </c>
      <c r="B398" s="0" t="s">
        <v>264</v>
      </c>
      <c r="C398" s="0" t="s">
        <v>265</v>
      </c>
      <c r="D398" s="0" t="s">
        <v>72</v>
      </c>
      <c r="E398" s="0" t="n">
        <v>391267</v>
      </c>
      <c r="F398" s="0" t="n">
        <v>24631</v>
      </c>
      <c r="G398" s="0" t="n">
        <v>23862</v>
      </c>
      <c r="H398" s="0" t="n">
        <v>19181</v>
      </c>
    </row>
    <row r="399" customFormat="false" ht="15" hidden="false" customHeight="false" outlineLevel="0" collapsed="false">
      <c r="A399" s="0" t="n">
        <v>2019</v>
      </c>
      <c r="B399" s="0" t="s">
        <v>258</v>
      </c>
      <c r="C399" s="0" t="s">
        <v>259</v>
      </c>
      <c r="D399" s="0" t="s">
        <v>75</v>
      </c>
      <c r="E399" s="0" t="n">
        <v>202440</v>
      </c>
      <c r="F399" s="0" t="n">
        <v>15088</v>
      </c>
      <c r="G399" s="0" t="n">
        <v>14597</v>
      </c>
      <c r="H399" s="0" t="n">
        <v>14776</v>
      </c>
    </row>
    <row r="400" customFormat="false" ht="15" hidden="false" customHeight="false" outlineLevel="0" collapsed="false">
      <c r="A400" s="0" t="n">
        <v>2019</v>
      </c>
      <c r="B400" s="0" t="s">
        <v>266</v>
      </c>
      <c r="C400" s="0" t="s">
        <v>267</v>
      </c>
      <c r="D400" s="0" t="s">
        <v>73</v>
      </c>
      <c r="E400" s="0" t="n">
        <v>105952</v>
      </c>
      <c r="F400" s="0" t="n">
        <v>19376</v>
      </c>
      <c r="G400" s="0" t="n">
        <v>19015</v>
      </c>
      <c r="H400" s="0" t="n">
        <v>18190</v>
      </c>
    </row>
    <row r="401" customFormat="false" ht="15" hidden="false" customHeight="false" outlineLevel="0" collapsed="false">
      <c r="A401" s="0" t="n">
        <v>2019</v>
      </c>
      <c r="B401" s="0" t="s">
        <v>270</v>
      </c>
      <c r="C401" s="0" t="s">
        <v>271</v>
      </c>
      <c r="D401" s="0" t="s">
        <v>73</v>
      </c>
      <c r="E401" s="0" t="n">
        <v>2899695</v>
      </c>
      <c r="F401" s="0" t="n">
        <v>25416</v>
      </c>
      <c r="G401" s="0" t="n">
        <v>23948</v>
      </c>
      <c r="H401" s="0" t="n">
        <v>22550</v>
      </c>
    </row>
    <row r="402" customFormat="false" ht="15" hidden="false" customHeight="false" outlineLevel="0" collapsed="false">
      <c r="A402" s="0" t="n">
        <v>2019</v>
      </c>
      <c r="B402" s="0" t="s">
        <v>268</v>
      </c>
      <c r="C402" s="0" t="s">
        <v>269</v>
      </c>
      <c r="D402" s="0" t="s">
        <v>72</v>
      </c>
      <c r="E402" s="0" t="n">
        <v>259886</v>
      </c>
      <c r="F402" s="0" t="n">
        <v>20070</v>
      </c>
      <c r="G402" s="0" t="n">
        <v>18136</v>
      </c>
      <c r="H402" s="0" t="n">
        <v>16551</v>
      </c>
    </row>
    <row r="403" customFormat="false" ht="15" hidden="false" customHeight="false" outlineLevel="0" collapsed="false">
      <c r="A403" s="0" t="n">
        <v>2019</v>
      </c>
      <c r="B403" s="0" t="s">
        <v>272</v>
      </c>
      <c r="C403" s="0" t="s">
        <v>273</v>
      </c>
      <c r="D403" s="0" t="s">
        <v>72</v>
      </c>
      <c r="E403" s="0" t="n">
        <v>180165</v>
      </c>
      <c r="F403" s="0" t="n">
        <v>19982</v>
      </c>
      <c r="G403" s="0" t="n">
        <v>19620</v>
      </c>
      <c r="H403" s="0" t="n">
        <v>16691</v>
      </c>
    </row>
    <row r="404" customFormat="false" ht="15" hidden="false" customHeight="false" outlineLevel="0" collapsed="false">
      <c r="A404" s="0" t="n">
        <v>2019</v>
      </c>
      <c r="B404" s="0" t="s">
        <v>274</v>
      </c>
      <c r="C404" s="0" t="s">
        <v>275</v>
      </c>
      <c r="D404" s="0" t="s">
        <v>74</v>
      </c>
      <c r="E404" s="0" t="n">
        <v>672020</v>
      </c>
      <c r="F404" s="0" t="n">
        <v>16837</v>
      </c>
      <c r="G404" s="0" t="n">
        <v>16300</v>
      </c>
      <c r="H404" s="0" t="n">
        <v>15273</v>
      </c>
    </row>
    <row r="405" customFormat="false" ht="15" hidden="false" customHeight="false" outlineLevel="0" collapsed="false">
      <c r="A405" s="0" t="n">
        <v>2019</v>
      </c>
      <c r="B405" s="0" t="s">
        <v>280</v>
      </c>
      <c r="C405" s="0" t="s">
        <v>281</v>
      </c>
      <c r="D405" s="0" t="s">
        <v>73</v>
      </c>
      <c r="E405" s="0" t="n">
        <v>202974</v>
      </c>
      <c r="F405" s="0" t="n">
        <v>22632</v>
      </c>
      <c r="G405" s="0" t="n">
        <v>20891</v>
      </c>
      <c r="H405" s="0" t="n">
        <v>19228</v>
      </c>
    </row>
    <row r="406" customFormat="false" ht="15" hidden="false" customHeight="false" outlineLevel="0" collapsed="false">
      <c r="A406" s="0" t="n">
        <v>2019</v>
      </c>
      <c r="B406" s="0" t="s">
        <v>284</v>
      </c>
      <c r="C406" s="0" t="s">
        <v>285</v>
      </c>
      <c r="D406" s="0" t="s">
        <v>72</v>
      </c>
      <c r="E406" s="0" t="n">
        <v>136137</v>
      </c>
      <c r="F406" s="0" t="n">
        <v>20932</v>
      </c>
      <c r="G406" s="0" t="n">
        <v>20207</v>
      </c>
      <c r="H406" s="0" t="n">
        <v>16620</v>
      </c>
    </row>
    <row r="407" customFormat="false" ht="15" hidden="false" customHeight="false" outlineLevel="0" collapsed="false">
      <c r="A407" s="0" t="n">
        <v>2019</v>
      </c>
      <c r="B407" s="0" t="s">
        <v>194</v>
      </c>
      <c r="C407" s="0" t="s">
        <v>195</v>
      </c>
      <c r="D407" s="0" t="s">
        <v>72</v>
      </c>
      <c r="E407" s="0" t="n">
        <v>161865</v>
      </c>
      <c r="F407" s="0" t="n">
        <v>22407</v>
      </c>
      <c r="G407" s="0" t="n">
        <v>21222</v>
      </c>
      <c r="H407" s="0" t="n">
        <v>19763</v>
      </c>
    </row>
    <row r="408" customFormat="false" ht="15" hidden="false" customHeight="false" outlineLevel="0" collapsed="false">
      <c r="A408" s="0" t="n">
        <v>2019</v>
      </c>
      <c r="B408" s="0" t="s">
        <v>282</v>
      </c>
      <c r="C408" s="0" t="s">
        <v>283</v>
      </c>
      <c r="D408" s="0" t="s">
        <v>75</v>
      </c>
      <c r="E408" s="0" t="n">
        <v>233179</v>
      </c>
      <c r="F408" s="0" t="n">
        <v>17256</v>
      </c>
      <c r="G408" s="0" t="n">
        <v>17416</v>
      </c>
      <c r="H408" s="0" t="n">
        <v>16697</v>
      </c>
    </row>
    <row r="409" customFormat="false" ht="15" hidden="false" customHeight="false" outlineLevel="0" collapsed="false">
      <c r="A409" s="0" t="n">
        <v>2019</v>
      </c>
      <c r="B409" s="0" t="s">
        <v>276</v>
      </c>
      <c r="C409" s="0" t="s">
        <v>277</v>
      </c>
      <c r="D409" s="0" t="s">
        <v>75</v>
      </c>
      <c r="E409" s="0" t="n">
        <v>326948</v>
      </c>
      <c r="F409" s="0" t="n">
        <v>18193</v>
      </c>
      <c r="G409" s="0" t="n">
        <v>17330</v>
      </c>
      <c r="H409" s="0" t="n">
        <v>17093</v>
      </c>
    </row>
    <row r="410" customFormat="false" ht="15" hidden="false" customHeight="false" outlineLevel="0" collapsed="false">
      <c r="A410" s="0" t="n">
        <v>2019</v>
      </c>
      <c r="B410" s="0" t="s">
        <v>286</v>
      </c>
      <c r="C410" s="0" t="s">
        <v>287</v>
      </c>
      <c r="D410" s="0" t="s">
        <v>75</v>
      </c>
      <c r="E410" s="0" t="n">
        <v>223708</v>
      </c>
      <c r="F410" s="0" t="n">
        <v>16028</v>
      </c>
      <c r="G410" s="0" t="n">
        <v>16275</v>
      </c>
      <c r="H410" s="0" t="n">
        <v>14818</v>
      </c>
    </row>
    <row r="411" customFormat="false" ht="15" hidden="false" customHeight="false" outlineLevel="0" collapsed="false">
      <c r="A411" s="0" t="n">
        <v>2019</v>
      </c>
      <c r="B411" s="0" t="s">
        <v>278</v>
      </c>
      <c r="C411" s="0" t="s">
        <v>279</v>
      </c>
      <c r="D411" s="0" t="s">
        <v>72</v>
      </c>
      <c r="E411" s="0" t="n">
        <v>207230</v>
      </c>
      <c r="F411" s="0" t="n">
        <v>21993</v>
      </c>
      <c r="G411" s="0" t="n">
        <v>20283</v>
      </c>
      <c r="H411" s="0" t="n">
        <v>18493</v>
      </c>
    </row>
    <row r="412" customFormat="false" ht="15" hidden="false" customHeight="false" outlineLevel="0" collapsed="false">
      <c r="A412" s="0" t="n">
        <v>2019</v>
      </c>
      <c r="B412" s="0" t="s">
        <v>288</v>
      </c>
      <c r="C412" s="0" t="s">
        <v>289</v>
      </c>
      <c r="D412" s="0" t="s">
        <v>74</v>
      </c>
      <c r="E412" s="0" t="n">
        <v>365950</v>
      </c>
      <c r="F412" s="0" t="n">
        <v>17590</v>
      </c>
      <c r="G412" s="0" t="n">
        <v>16993</v>
      </c>
      <c r="H412" s="0" t="n">
        <v>17732</v>
      </c>
    </row>
    <row r="413" customFormat="false" ht="15" hidden="false" customHeight="false" outlineLevel="0" collapsed="false">
      <c r="A413" s="0" t="n">
        <v>2019</v>
      </c>
      <c r="B413" s="0" t="s">
        <v>290</v>
      </c>
      <c r="C413" s="0" t="s">
        <v>291</v>
      </c>
      <c r="D413" s="0" t="s">
        <v>74</v>
      </c>
      <c r="E413" s="0" t="n">
        <v>217539</v>
      </c>
      <c r="F413" s="0" t="n">
        <v>17723</v>
      </c>
      <c r="G413" s="0" t="n">
        <v>17402</v>
      </c>
      <c r="H413" s="0" t="n">
        <v>15147</v>
      </c>
    </row>
    <row r="414" customFormat="false" ht="15" hidden="false" customHeight="false" outlineLevel="0" collapsed="false">
      <c r="A414" s="0" t="n">
        <v>2019</v>
      </c>
      <c r="B414" s="0" t="s">
        <v>298</v>
      </c>
      <c r="C414" s="0" t="s">
        <v>299</v>
      </c>
      <c r="D414" s="0" t="s">
        <v>72</v>
      </c>
      <c r="E414" s="0" t="n">
        <v>429118</v>
      </c>
      <c r="F414" s="0" t="n">
        <v>22484</v>
      </c>
      <c r="G414" s="0" t="n">
        <v>20098</v>
      </c>
      <c r="H414" s="0" t="n">
        <v>18586</v>
      </c>
    </row>
    <row r="415" customFormat="false" ht="15" hidden="false" customHeight="false" outlineLevel="0" collapsed="false">
      <c r="A415" s="0" t="n">
        <v>2019</v>
      </c>
      <c r="B415" s="0" t="s">
        <v>294</v>
      </c>
      <c r="C415" s="0" t="s">
        <v>295</v>
      </c>
      <c r="D415" s="0" t="s">
        <v>72</v>
      </c>
      <c r="E415" s="0" t="n">
        <v>1638254</v>
      </c>
      <c r="F415" s="0" t="n">
        <v>24328</v>
      </c>
      <c r="G415" s="0" t="n">
        <v>23593</v>
      </c>
      <c r="H415" s="0" t="n">
        <v>20311</v>
      </c>
    </row>
    <row r="416" customFormat="false" ht="15" hidden="false" customHeight="false" outlineLevel="0" collapsed="false">
      <c r="A416" s="0" t="n">
        <v>2019</v>
      </c>
      <c r="B416" s="0" t="s">
        <v>296</v>
      </c>
      <c r="C416" s="0" t="s">
        <v>297</v>
      </c>
      <c r="D416" s="0" t="s">
        <v>75</v>
      </c>
      <c r="E416" s="0" t="n">
        <v>260035</v>
      </c>
      <c r="F416" s="0" t="n">
        <v>15809</v>
      </c>
      <c r="G416" s="0" t="n">
        <v>16059</v>
      </c>
      <c r="H416" s="0" t="n">
        <v>14898</v>
      </c>
    </row>
    <row r="417" customFormat="false" ht="15" hidden="false" customHeight="false" outlineLevel="0" collapsed="false">
      <c r="A417" s="0" t="n">
        <v>2019</v>
      </c>
      <c r="B417" s="0" t="s">
        <v>292</v>
      </c>
      <c r="C417" s="0" t="s">
        <v>293</v>
      </c>
      <c r="D417" s="0" t="s">
        <v>73</v>
      </c>
      <c r="E417" s="0" t="n">
        <v>159281</v>
      </c>
      <c r="F417" s="0" t="n">
        <v>20485</v>
      </c>
      <c r="G417" s="0" t="n">
        <v>19699</v>
      </c>
      <c r="H417" s="0" t="n">
        <v>18540</v>
      </c>
    </row>
    <row r="418" customFormat="false" ht="15" hidden="false" customHeight="false" outlineLevel="0" collapsed="false">
      <c r="A418" s="0" t="n">
        <v>2019</v>
      </c>
      <c r="B418" s="0" t="s">
        <v>302</v>
      </c>
      <c r="C418" s="0" t="s">
        <v>303</v>
      </c>
      <c r="D418" s="0" t="s">
        <v>72</v>
      </c>
      <c r="E418" s="0" t="n">
        <v>181581</v>
      </c>
      <c r="F418" s="0" t="n">
        <v>24303</v>
      </c>
      <c r="G418" s="0" t="n">
        <v>23072</v>
      </c>
      <c r="H418" s="0" t="n">
        <v>21071</v>
      </c>
    </row>
    <row r="419" customFormat="false" ht="15" hidden="false" customHeight="false" outlineLevel="0" collapsed="false">
      <c r="A419" s="0" t="n">
        <v>2019</v>
      </c>
      <c r="B419" s="0" t="s">
        <v>300</v>
      </c>
      <c r="C419" s="0" t="s">
        <v>301</v>
      </c>
      <c r="D419" s="0" t="s">
        <v>72</v>
      </c>
      <c r="E419" s="0" t="n">
        <v>652892</v>
      </c>
      <c r="F419" s="0" t="n">
        <v>23037</v>
      </c>
      <c r="G419" s="0" t="n">
        <v>22154</v>
      </c>
      <c r="H419" s="0" t="n">
        <v>17645</v>
      </c>
    </row>
    <row r="420" customFormat="false" ht="15" hidden="false" customHeight="false" outlineLevel="0" collapsed="false">
      <c r="A420" s="0" t="n">
        <v>2019</v>
      </c>
      <c r="B420" s="0" t="s">
        <v>304</v>
      </c>
      <c r="C420" s="0" t="s">
        <v>305</v>
      </c>
      <c r="D420" s="0" t="s">
        <v>72</v>
      </c>
      <c r="E420" s="0" t="n">
        <v>408870</v>
      </c>
      <c r="F420" s="0" t="n">
        <v>22345</v>
      </c>
      <c r="G420" s="0" t="n">
        <v>21838</v>
      </c>
      <c r="H420" s="0" t="n">
        <v>18263</v>
      </c>
    </row>
    <row r="421" customFormat="false" ht="15" hidden="false" customHeight="false" outlineLevel="0" collapsed="false">
      <c r="A421" s="0" t="n">
        <v>2019</v>
      </c>
      <c r="B421" s="0" t="s">
        <v>306</v>
      </c>
      <c r="C421" s="0" t="s">
        <v>307</v>
      </c>
      <c r="D421" s="0" t="s">
        <v>72</v>
      </c>
      <c r="E421" s="0" t="n">
        <v>629371</v>
      </c>
      <c r="F421" s="0" t="n">
        <v>24102</v>
      </c>
      <c r="G421" s="0" t="n">
        <v>24107</v>
      </c>
      <c r="H421" s="0" t="n">
        <v>19247</v>
      </c>
    </row>
    <row r="422" customFormat="false" ht="15" hidden="false" customHeight="false" outlineLevel="0" collapsed="false">
      <c r="A422" s="0" t="n">
        <v>2019</v>
      </c>
      <c r="B422" s="0" t="s">
        <v>310</v>
      </c>
      <c r="C422" s="0" t="s">
        <v>311</v>
      </c>
      <c r="D422" s="0" t="s">
        <v>72</v>
      </c>
      <c r="E422" s="0" t="n">
        <v>115707</v>
      </c>
      <c r="F422" s="0" t="n">
        <v>20633</v>
      </c>
      <c r="G422" s="0" t="n">
        <v>20225</v>
      </c>
      <c r="H422" s="0" t="n">
        <v>17112</v>
      </c>
    </row>
    <row r="423" customFormat="false" ht="15" hidden="false" customHeight="false" outlineLevel="0" collapsed="false">
      <c r="A423" s="0" t="n">
        <v>2019</v>
      </c>
      <c r="B423" s="0" t="s">
        <v>312</v>
      </c>
      <c r="C423" s="0" t="s">
        <v>313</v>
      </c>
      <c r="D423" s="0" t="s">
        <v>72</v>
      </c>
      <c r="E423" s="0" t="n">
        <v>127985</v>
      </c>
      <c r="F423" s="0" t="n">
        <v>21823</v>
      </c>
      <c r="G423" s="0" t="n">
        <v>21426</v>
      </c>
      <c r="H423" s="0" t="n">
        <v>18444</v>
      </c>
    </row>
    <row r="424" customFormat="false" ht="15" hidden="false" customHeight="false" outlineLevel="0" collapsed="false">
      <c r="A424" s="0" t="n">
        <v>2019</v>
      </c>
      <c r="B424" s="0" t="s">
        <v>308</v>
      </c>
      <c r="C424" s="0" t="s">
        <v>309</v>
      </c>
      <c r="D424" s="0" t="s">
        <v>72</v>
      </c>
      <c r="E424" s="0" t="n">
        <v>637111</v>
      </c>
      <c r="F424" s="0" t="n">
        <v>22621</v>
      </c>
      <c r="G424" s="0" t="n">
        <v>21318</v>
      </c>
      <c r="H424" s="0" t="n">
        <v>18644</v>
      </c>
    </row>
    <row r="425" customFormat="false" ht="15" hidden="false" customHeight="false" outlineLevel="0" collapsed="false">
      <c r="A425" s="0" t="n">
        <v>2019</v>
      </c>
      <c r="B425" s="0" t="s">
        <v>318</v>
      </c>
      <c r="C425" s="0" t="s">
        <v>319</v>
      </c>
      <c r="D425" s="0" t="s">
        <v>72</v>
      </c>
      <c r="E425" s="0" t="n">
        <v>637209</v>
      </c>
      <c r="F425" s="0" t="n">
        <v>23223</v>
      </c>
      <c r="G425" s="0" t="n">
        <v>22625</v>
      </c>
      <c r="H425" s="0" t="n">
        <v>17809</v>
      </c>
    </row>
    <row r="426" customFormat="false" ht="15" hidden="false" customHeight="false" outlineLevel="0" collapsed="false">
      <c r="A426" s="0" t="n">
        <v>2019</v>
      </c>
      <c r="B426" s="0" t="s">
        <v>314</v>
      </c>
      <c r="C426" s="0" t="s">
        <v>315</v>
      </c>
      <c r="D426" s="0" t="s">
        <v>72</v>
      </c>
      <c r="E426" s="0" t="n">
        <v>698035</v>
      </c>
      <c r="F426" s="0" t="n">
        <v>22766</v>
      </c>
      <c r="G426" s="0" t="n">
        <v>21453</v>
      </c>
      <c r="H426" s="0" t="n">
        <v>18111</v>
      </c>
    </row>
    <row r="427" customFormat="false" ht="15" hidden="false" customHeight="false" outlineLevel="0" collapsed="false">
      <c r="A427" s="0" t="n">
        <v>2019</v>
      </c>
      <c r="B427" s="0" t="s">
        <v>320</v>
      </c>
      <c r="C427" s="0" t="s">
        <v>321</v>
      </c>
      <c r="D427" s="0" t="s">
        <v>73</v>
      </c>
      <c r="E427" s="0" t="n">
        <v>216193</v>
      </c>
      <c r="F427" s="0" t="n">
        <v>18930</v>
      </c>
      <c r="G427" s="0" t="n">
        <v>18530</v>
      </c>
      <c r="H427" s="0" t="n">
        <v>17818</v>
      </c>
    </row>
    <row r="428" customFormat="false" ht="15" hidden="false" customHeight="false" outlineLevel="0" collapsed="false">
      <c r="A428" s="0" t="n">
        <v>2019</v>
      </c>
      <c r="B428" s="0" t="s">
        <v>316</v>
      </c>
      <c r="C428" s="0" t="s">
        <v>317</v>
      </c>
      <c r="D428" s="0" t="s">
        <v>74</v>
      </c>
      <c r="E428" s="0" t="n">
        <v>99021</v>
      </c>
      <c r="F428" s="0" t="n">
        <v>14790</v>
      </c>
      <c r="G428" s="0" t="n">
        <v>14166</v>
      </c>
      <c r="H428" s="0" t="n">
        <v>14299</v>
      </c>
    </row>
    <row r="429" customFormat="false" ht="15" hidden="false" customHeight="false" outlineLevel="0" collapsed="false">
      <c r="A429" s="0" t="n">
        <v>2020</v>
      </c>
      <c r="B429" s="0" t="s">
        <v>90</v>
      </c>
      <c r="C429" s="0" t="s">
        <v>91</v>
      </c>
      <c r="D429" s="0" t="s">
        <v>75</v>
      </c>
      <c r="E429" s="0" t="n">
        <v>248044</v>
      </c>
      <c r="F429" s="0" t="n">
        <v>14977</v>
      </c>
      <c r="G429" s="0" t="n">
        <v>15659</v>
      </c>
      <c r="H429" s="0" t="n">
        <v>13672</v>
      </c>
    </row>
    <row r="430" customFormat="false" ht="15" hidden="false" customHeight="false" outlineLevel="0" collapsed="false">
      <c r="A430" s="0" t="n">
        <v>2020</v>
      </c>
      <c r="B430" s="0" t="s">
        <v>93</v>
      </c>
      <c r="C430" s="0" t="s">
        <v>94</v>
      </c>
      <c r="D430" s="0" t="s">
        <v>72</v>
      </c>
      <c r="E430" s="0" t="n">
        <v>306468</v>
      </c>
      <c r="F430" s="0" t="n">
        <v>21806</v>
      </c>
      <c r="G430" s="0" t="n">
        <v>21352</v>
      </c>
      <c r="H430" s="0" t="n">
        <v>18672</v>
      </c>
    </row>
    <row r="431" customFormat="false" ht="15" hidden="false" customHeight="false" outlineLevel="0" collapsed="false">
      <c r="A431" s="0" t="n">
        <v>2020</v>
      </c>
      <c r="B431" s="0" t="s">
        <v>96</v>
      </c>
      <c r="C431" s="0" t="s">
        <v>97</v>
      </c>
      <c r="D431" s="0" t="s">
        <v>73</v>
      </c>
      <c r="E431" s="0" t="n">
        <v>344355</v>
      </c>
      <c r="F431" s="0" t="n">
        <v>21695</v>
      </c>
      <c r="G431" s="0" t="n">
        <v>20171</v>
      </c>
      <c r="H431" s="0" t="n">
        <v>19090</v>
      </c>
    </row>
    <row r="432" customFormat="false" ht="15" hidden="false" customHeight="false" outlineLevel="0" collapsed="false">
      <c r="A432" s="0" t="n">
        <v>2020</v>
      </c>
      <c r="B432" s="0" t="s">
        <v>99</v>
      </c>
      <c r="C432" s="0" t="s">
        <v>100</v>
      </c>
      <c r="D432" s="0" t="s">
        <v>72</v>
      </c>
      <c r="E432" s="0" t="n">
        <v>96784</v>
      </c>
      <c r="F432" s="0" t="n">
        <v>22559</v>
      </c>
      <c r="G432" s="0" t="n">
        <v>20094</v>
      </c>
      <c r="H432" s="0" t="n">
        <v>19268</v>
      </c>
    </row>
    <row r="433" customFormat="false" ht="15" hidden="false" customHeight="false" outlineLevel="0" collapsed="false">
      <c r="A433" s="0" t="n">
        <v>2020</v>
      </c>
      <c r="B433" s="0" t="s">
        <v>105</v>
      </c>
      <c r="C433" s="0" t="s">
        <v>106</v>
      </c>
      <c r="D433" s="0" t="s">
        <v>73</v>
      </c>
      <c r="E433" s="0" t="n">
        <v>154031</v>
      </c>
      <c r="F433" s="0" t="n">
        <v>19346</v>
      </c>
      <c r="G433" s="0" t="n">
        <v>18431</v>
      </c>
      <c r="H433" s="0" t="n">
        <v>17099</v>
      </c>
    </row>
    <row r="434" customFormat="false" ht="15" hidden="false" customHeight="false" outlineLevel="0" collapsed="false">
      <c r="A434" s="0" t="n">
        <v>2020</v>
      </c>
      <c r="B434" s="0" t="s">
        <v>192</v>
      </c>
      <c r="C434" s="0" t="s">
        <v>193</v>
      </c>
      <c r="D434" s="0" t="s">
        <v>74</v>
      </c>
      <c r="E434" s="0" t="n">
        <v>206234</v>
      </c>
      <c r="F434" s="0" t="n">
        <v>19226</v>
      </c>
      <c r="G434" s="0" t="n">
        <v>19014</v>
      </c>
      <c r="H434" s="0" t="n">
        <v>17719</v>
      </c>
    </row>
    <row r="435" customFormat="false" ht="15" hidden="false" customHeight="false" outlineLevel="0" collapsed="false">
      <c r="A435" s="0" t="n">
        <v>2020</v>
      </c>
      <c r="B435" s="0" t="s">
        <v>102</v>
      </c>
      <c r="C435" s="0" t="s">
        <v>103</v>
      </c>
      <c r="D435" s="0" t="s">
        <v>73</v>
      </c>
      <c r="E435" s="0" t="n">
        <v>253039</v>
      </c>
      <c r="F435" s="0" t="n">
        <v>20892</v>
      </c>
      <c r="G435" s="0" t="n">
        <v>19617</v>
      </c>
      <c r="H435" s="0" t="n">
        <v>18058</v>
      </c>
    </row>
    <row r="436" customFormat="false" ht="15" hidden="false" customHeight="false" outlineLevel="0" collapsed="false">
      <c r="A436" s="0" t="n">
        <v>2020</v>
      </c>
      <c r="B436" s="0" t="s">
        <v>107</v>
      </c>
      <c r="C436" s="0" t="s">
        <v>108</v>
      </c>
      <c r="D436" s="0" t="s">
        <v>72</v>
      </c>
      <c r="E436" s="0" t="n">
        <v>155682</v>
      </c>
      <c r="F436" s="0" t="n">
        <v>21014</v>
      </c>
      <c r="G436" s="0" t="n">
        <v>20334</v>
      </c>
      <c r="H436" s="0" t="n">
        <v>18068</v>
      </c>
    </row>
    <row r="437" customFormat="false" ht="15" hidden="false" customHeight="false" outlineLevel="0" collapsed="false">
      <c r="A437" s="0" t="n">
        <v>2020</v>
      </c>
      <c r="B437" s="0" t="s">
        <v>109</v>
      </c>
      <c r="C437" s="0" t="s">
        <v>110</v>
      </c>
      <c r="D437" s="0" t="s">
        <v>74</v>
      </c>
      <c r="E437" s="0" t="n">
        <v>262455</v>
      </c>
      <c r="F437" s="0" t="n">
        <v>16584</v>
      </c>
      <c r="G437" s="0" t="n">
        <v>17138</v>
      </c>
      <c r="H437" s="0" t="n">
        <v>14868</v>
      </c>
    </row>
    <row r="438" customFormat="false" ht="15" hidden="false" customHeight="false" outlineLevel="0" collapsed="false">
      <c r="A438" s="0" t="n">
        <v>2020</v>
      </c>
      <c r="B438" s="0" t="s">
        <v>112</v>
      </c>
      <c r="C438" s="0" t="s">
        <v>113</v>
      </c>
      <c r="D438" s="0" t="s">
        <v>74</v>
      </c>
      <c r="E438" s="0" t="n">
        <v>811248</v>
      </c>
      <c r="F438" s="0" t="n">
        <v>18324</v>
      </c>
      <c r="G438" s="0" t="n">
        <v>17630</v>
      </c>
      <c r="H438" s="0" t="n">
        <v>17559</v>
      </c>
    </row>
    <row r="439" customFormat="false" ht="15" hidden="false" customHeight="false" outlineLevel="0" collapsed="false">
      <c r="A439" s="0" t="n">
        <v>2020</v>
      </c>
      <c r="B439" s="0" t="s">
        <v>122</v>
      </c>
      <c r="C439" s="0" t="s">
        <v>123</v>
      </c>
      <c r="D439" s="0" t="s">
        <v>72</v>
      </c>
      <c r="E439" s="0" t="n">
        <v>800130</v>
      </c>
      <c r="F439" s="0" t="n">
        <v>23186</v>
      </c>
      <c r="G439" s="0" t="n">
        <v>22915</v>
      </c>
      <c r="H439" s="0" t="n">
        <v>18720</v>
      </c>
    </row>
    <row r="440" customFormat="false" ht="15" hidden="false" customHeight="false" outlineLevel="0" collapsed="false">
      <c r="A440" s="0" t="n">
        <v>2020</v>
      </c>
      <c r="B440" s="0" t="s">
        <v>125</v>
      </c>
      <c r="C440" s="0" t="s">
        <v>126</v>
      </c>
      <c r="D440" s="0" t="s">
        <v>72</v>
      </c>
      <c r="E440" s="0" t="n">
        <v>133269</v>
      </c>
      <c r="F440" s="0" t="n">
        <v>21755</v>
      </c>
      <c r="G440" s="0" t="n">
        <v>21633</v>
      </c>
      <c r="H440" s="0" t="n">
        <v>18605</v>
      </c>
    </row>
    <row r="441" customFormat="false" ht="15" hidden="false" customHeight="false" outlineLevel="0" collapsed="false">
      <c r="A441" s="0" t="n">
        <v>2020</v>
      </c>
      <c r="B441" s="0" t="s">
        <v>117</v>
      </c>
      <c r="C441" s="0" t="s">
        <v>118</v>
      </c>
      <c r="D441" s="0" t="s">
        <v>72</v>
      </c>
      <c r="E441" s="0" t="n">
        <v>161155</v>
      </c>
      <c r="F441" s="0" t="n">
        <v>21792</v>
      </c>
      <c r="G441" s="0" t="n">
        <v>20959</v>
      </c>
      <c r="H441" s="0" t="n">
        <v>17730</v>
      </c>
    </row>
    <row r="442" customFormat="false" ht="15" hidden="false" customHeight="false" outlineLevel="0" collapsed="false">
      <c r="A442" s="0" t="n">
        <v>2020</v>
      </c>
      <c r="B442" s="0" t="s">
        <v>120</v>
      </c>
      <c r="C442" s="0" t="s">
        <v>121</v>
      </c>
      <c r="D442" s="0" t="s">
        <v>74</v>
      </c>
      <c r="E442" s="0" t="n">
        <v>175703</v>
      </c>
      <c r="F442" s="0" t="n">
        <v>16265</v>
      </c>
      <c r="G442" s="0" t="n">
        <v>16960</v>
      </c>
      <c r="H442" s="0" t="n">
        <v>14648</v>
      </c>
    </row>
    <row r="443" customFormat="false" ht="15" hidden="false" customHeight="false" outlineLevel="0" collapsed="false">
      <c r="A443" s="0" t="n">
        <v>2020</v>
      </c>
      <c r="B443" s="0" t="s">
        <v>127</v>
      </c>
      <c r="C443" s="0" t="s">
        <v>128</v>
      </c>
      <c r="D443" s="0" t="s">
        <v>72</v>
      </c>
      <c r="E443" s="0" t="n">
        <v>778352</v>
      </c>
      <c r="F443" s="0" t="n">
        <v>25939</v>
      </c>
      <c r="G443" s="0" t="n">
        <v>23940</v>
      </c>
      <c r="H443" s="0" t="n">
        <v>21550</v>
      </c>
    </row>
    <row r="444" customFormat="false" ht="15" hidden="false" customHeight="false" outlineLevel="0" collapsed="false">
      <c r="A444" s="0" t="n">
        <v>2020</v>
      </c>
      <c r="B444" s="0" t="s">
        <v>135</v>
      </c>
      <c r="C444" s="0" t="s">
        <v>136</v>
      </c>
      <c r="D444" s="0" t="s">
        <v>74</v>
      </c>
      <c r="E444" s="0" t="n">
        <v>256732</v>
      </c>
      <c r="F444" s="0" t="n">
        <v>16335</v>
      </c>
      <c r="G444" s="0" t="n">
        <v>15726</v>
      </c>
      <c r="H444" s="0" t="n">
        <v>15917</v>
      </c>
    </row>
    <row r="445" customFormat="false" ht="15" hidden="false" customHeight="false" outlineLevel="0" collapsed="false">
      <c r="A445" s="0" t="n">
        <v>2020</v>
      </c>
      <c r="B445" s="0" t="s">
        <v>133</v>
      </c>
      <c r="C445" s="0" t="s">
        <v>134</v>
      </c>
      <c r="D445" s="0" t="s">
        <v>72</v>
      </c>
      <c r="E445" s="0" t="n">
        <v>904396</v>
      </c>
      <c r="F445" s="0" t="n">
        <v>22485</v>
      </c>
      <c r="G445" s="0" t="n">
        <v>21848</v>
      </c>
      <c r="H445" s="0" t="n">
        <v>18028</v>
      </c>
    </row>
    <row r="446" customFormat="false" ht="15" hidden="false" customHeight="false" outlineLevel="0" collapsed="false">
      <c r="A446" s="0" t="n">
        <v>2020</v>
      </c>
      <c r="B446" s="0" t="s">
        <v>115</v>
      </c>
      <c r="C446" s="0" t="s">
        <v>116</v>
      </c>
      <c r="D446" s="0" t="s">
        <v>74</v>
      </c>
      <c r="E446" s="0" t="n">
        <v>234725</v>
      </c>
      <c r="F446" s="0" t="n">
        <v>15307</v>
      </c>
      <c r="G446" s="0" t="n">
        <v>14845</v>
      </c>
      <c r="H446" s="0" t="n">
        <v>15082</v>
      </c>
    </row>
    <row r="447" customFormat="false" ht="15" hidden="false" customHeight="false" outlineLevel="0" collapsed="false">
      <c r="A447" s="0" t="n">
        <v>2020</v>
      </c>
      <c r="B447" s="0" t="s">
        <v>130</v>
      </c>
      <c r="C447" s="0" t="s">
        <v>131</v>
      </c>
      <c r="D447" s="0" t="s">
        <v>72</v>
      </c>
      <c r="E447" s="0" t="n">
        <v>428328</v>
      </c>
      <c r="F447" s="0" t="n">
        <v>24761</v>
      </c>
      <c r="G447" s="0" t="n">
        <v>22234</v>
      </c>
      <c r="H447" s="0" t="n">
        <v>19216</v>
      </c>
    </row>
    <row r="448" customFormat="false" ht="15" hidden="false" customHeight="false" outlineLevel="0" collapsed="false">
      <c r="A448" s="0" t="n">
        <v>2020</v>
      </c>
      <c r="B448" s="0" t="s">
        <v>137</v>
      </c>
      <c r="C448" s="0" t="s">
        <v>138</v>
      </c>
      <c r="D448" s="0" t="s">
        <v>75</v>
      </c>
      <c r="E448" s="0" t="n">
        <v>277089</v>
      </c>
      <c r="F448" s="0" t="n">
        <v>21878</v>
      </c>
      <c r="G448" s="0" t="n">
        <v>20279</v>
      </c>
      <c r="H448" s="0" t="n">
        <v>21116</v>
      </c>
    </row>
    <row r="449" customFormat="false" ht="15" hidden="false" customHeight="false" outlineLevel="0" collapsed="false">
      <c r="A449" s="0" t="n">
        <v>2020</v>
      </c>
      <c r="B449" s="0" t="s">
        <v>142</v>
      </c>
      <c r="C449" s="0" t="s">
        <v>143</v>
      </c>
      <c r="D449" s="0" t="s">
        <v>74</v>
      </c>
      <c r="E449" s="0" t="n">
        <v>149401</v>
      </c>
      <c r="F449" s="0" t="n">
        <v>16775</v>
      </c>
      <c r="G449" s="0" t="n">
        <v>17668</v>
      </c>
      <c r="H449" s="0" t="n">
        <v>14990</v>
      </c>
    </row>
    <row r="450" customFormat="false" ht="15" hidden="false" customHeight="false" outlineLevel="0" collapsed="false">
      <c r="A450" s="0" t="n">
        <v>2020</v>
      </c>
      <c r="B450" s="0" t="s">
        <v>145</v>
      </c>
      <c r="C450" s="0" t="s">
        <v>146</v>
      </c>
      <c r="D450" s="0" t="s">
        <v>74</v>
      </c>
      <c r="E450" s="0" t="n">
        <v>509661</v>
      </c>
      <c r="F450" s="0" t="n">
        <v>17093</v>
      </c>
      <c r="G450" s="0" t="n">
        <v>16546</v>
      </c>
      <c r="H450" s="0" t="n">
        <v>16373</v>
      </c>
    </row>
    <row r="451" customFormat="false" ht="15" hidden="false" customHeight="false" outlineLevel="0" collapsed="false">
      <c r="A451" s="0" t="n">
        <v>2020</v>
      </c>
      <c r="B451" s="0" t="s">
        <v>152</v>
      </c>
      <c r="C451" s="0" t="s">
        <v>153</v>
      </c>
      <c r="D451" s="0" t="s">
        <v>74</v>
      </c>
      <c r="E451" s="0" t="n">
        <v>266815</v>
      </c>
      <c r="F451" s="0" t="n">
        <v>18257</v>
      </c>
      <c r="G451" s="0" t="n">
        <v>18623</v>
      </c>
      <c r="H451" s="0" t="n">
        <v>15690</v>
      </c>
    </row>
    <row r="452" customFormat="false" ht="15" hidden="false" customHeight="false" outlineLevel="0" collapsed="false">
      <c r="A452" s="0" t="n">
        <v>2020</v>
      </c>
      <c r="B452" s="0" t="s">
        <v>140</v>
      </c>
      <c r="C452" s="0" t="s">
        <v>141</v>
      </c>
      <c r="D452" s="0" t="s">
        <v>75</v>
      </c>
      <c r="E452" s="0" t="n">
        <v>149594</v>
      </c>
      <c r="F452" s="0" t="n">
        <v>15836</v>
      </c>
      <c r="G452" s="0" t="n">
        <v>16822</v>
      </c>
      <c r="H452" s="0" t="n">
        <v>14851</v>
      </c>
    </row>
    <row r="453" customFormat="false" ht="15" hidden="false" customHeight="false" outlineLevel="0" collapsed="false">
      <c r="A453" s="0" t="n">
        <v>2020</v>
      </c>
      <c r="B453" s="0" t="s">
        <v>163</v>
      </c>
      <c r="C453" s="0" t="s">
        <v>164</v>
      </c>
      <c r="D453" s="0" t="s">
        <v>72</v>
      </c>
      <c r="E453" s="0" t="n">
        <v>440813</v>
      </c>
      <c r="F453" s="0" t="n">
        <v>21773</v>
      </c>
      <c r="G453" s="0" t="n">
        <v>20759</v>
      </c>
      <c r="H453" s="0" t="n">
        <v>18012</v>
      </c>
    </row>
    <row r="454" customFormat="false" ht="15" hidden="false" customHeight="false" outlineLevel="0" collapsed="false">
      <c r="A454" s="0" t="n">
        <v>2020</v>
      </c>
      <c r="B454" s="0" t="s">
        <v>155</v>
      </c>
      <c r="C454" s="0" t="s">
        <v>156</v>
      </c>
      <c r="D454" s="0" t="s">
        <v>72</v>
      </c>
      <c r="E454" s="0" t="n">
        <v>425575</v>
      </c>
      <c r="F454" s="0" t="n">
        <v>23092</v>
      </c>
      <c r="G454" s="0" t="n">
        <v>23067</v>
      </c>
      <c r="H454" s="0" t="n">
        <v>18782</v>
      </c>
    </row>
    <row r="455" customFormat="false" ht="15" hidden="false" customHeight="false" outlineLevel="0" collapsed="false">
      <c r="A455" s="0" t="n">
        <v>2020</v>
      </c>
      <c r="B455" s="0" t="s">
        <v>159</v>
      </c>
      <c r="C455" s="0" t="s">
        <v>160</v>
      </c>
      <c r="D455" s="0" t="s">
        <v>72</v>
      </c>
      <c r="E455" s="0" t="n">
        <v>262741</v>
      </c>
      <c r="F455" s="0" t="n">
        <v>22986</v>
      </c>
      <c r="G455" s="0" t="n">
        <v>22604</v>
      </c>
      <c r="H455" s="0" t="n">
        <v>18742</v>
      </c>
    </row>
    <row r="456" customFormat="false" ht="15" hidden="false" customHeight="false" outlineLevel="0" collapsed="false">
      <c r="A456" s="0" t="n">
        <v>2020</v>
      </c>
      <c r="B456" s="0" t="s">
        <v>157</v>
      </c>
      <c r="C456" s="0" t="s">
        <v>158</v>
      </c>
      <c r="D456" s="0" t="s">
        <v>74</v>
      </c>
      <c r="E456" s="0" t="n">
        <v>430525</v>
      </c>
      <c r="F456" s="0" t="n">
        <v>15139</v>
      </c>
      <c r="G456" s="0" t="n">
        <v>14509</v>
      </c>
      <c r="H456" s="0" t="n">
        <v>14964</v>
      </c>
    </row>
    <row r="457" customFormat="false" ht="15" hidden="false" customHeight="false" outlineLevel="0" collapsed="false">
      <c r="A457" s="0" t="n">
        <v>2020</v>
      </c>
      <c r="B457" s="0" t="s">
        <v>147</v>
      </c>
      <c r="C457" s="0" t="s">
        <v>148</v>
      </c>
      <c r="D457" s="0" t="s">
        <v>75</v>
      </c>
      <c r="E457" s="0" t="n">
        <v>601835</v>
      </c>
      <c r="F457" s="0" t="n">
        <v>17543</v>
      </c>
      <c r="G457" s="0" t="n">
        <v>17035</v>
      </c>
      <c r="H457" s="0" t="n">
        <v>16700</v>
      </c>
    </row>
    <row r="458" customFormat="false" ht="15" hidden="false" customHeight="false" outlineLevel="0" collapsed="false">
      <c r="A458" s="0" t="n">
        <v>2020</v>
      </c>
      <c r="B458" s="0" t="s">
        <v>149</v>
      </c>
      <c r="C458" s="0" t="s">
        <v>150</v>
      </c>
      <c r="D458" s="0" t="s">
        <v>74</v>
      </c>
      <c r="E458" s="0" t="n">
        <v>214930</v>
      </c>
      <c r="F458" s="0" t="n">
        <v>16527</v>
      </c>
      <c r="G458" s="0" t="n">
        <v>16092</v>
      </c>
      <c r="H458" s="0" t="n">
        <v>15734</v>
      </c>
    </row>
    <row r="459" customFormat="false" ht="15" hidden="false" customHeight="false" outlineLevel="0" collapsed="false">
      <c r="A459" s="0" t="n">
        <v>2020</v>
      </c>
      <c r="B459" s="0" t="s">
        <v>165</v>
      </c>
      <c r="C459" s="0" t="s">
        <v>166</v>
      </c>
      <c r="D459" s="0" t="s">
        <v>75</v>
      </c>
      <c r="E459" s="0" t="n">
        <v>98798</v>
      </c>
      <c r="F459" s="0" t="n">
        <v>15223</v>
      </c>
      <c r="G459" s="0" t="n">
        <v>16429</v>
      </c>
      <c r="H459" s="0" t="n">
        <v>13786</v>
      </c>
    </row>
    <row r="460" customFormat="false" ht="15" hidden="false" customHeight="false" outlineLevel="0" collapsed="false">
      <c r="A460" s="0" t="n">
        <v>2020</v>
      </c>
      <c r="B460" s="0" t="s">
        <v>175</v>
      </c>
      <c r="C460" s="0" t="s">
        <v>176</v>
      </c>
      <c r="D460" s="0" t="s">
        <v>72</v>
      </c>
      <c r="E460" s="0" t="n">
        <v>304018</v>
      </c>
      <c r="F460" s="0" t="n">
        <v>21517</v>
      </c>
      <c r="G460" s="0" t="n">
        <v>20124</v>
      </c>
      <c r="H460" s="0" t="n">
        <v>17813</v>
      </c>
    </row>
    <row r="461" customFormat="false" ht="15" hidden="false" customHeight="false" outlineLevel="0" collapsed="false">
      <c r="A461" s="0" t="n">
        <v>2020</v>
      </c>
      <c r="B461" s="0" t="s">
        <v>169</v>
      </c>
      <c r="C461" s="0" t="s">
        <v>170</v>
      </c>
      <c r="D461" s="0" t="s">
        <v>72</v>
      </c>
      <c r="E461" s="0" t="n">
        <v>269278</v>
      </c>
      <c r="F461" s="0" t="n">
        <v>21426</v>
      </c>
      <c r="G461" s="0" t="n">
        <v>20430</v>
      </c>
      <c r="H461" s="0" t="n">
        <v>18454</v>
      </c>
    </row>
    <row r="462" customFormat="false" ht="15" hidden="false" customHeight="false" outlineLevel="0" collapsed="false">
      <c r="A462" s="0" t="n">
        <v>2020</v>
      </c>
      <c r="B462" s="0" t="s">
        <v>173</v>
      </c>
      <c r="C462" s="0" t="s">
        <v>174</v>
      </c>
      <c r="D462" s="0" t="s">
        <v>74</v>
      </c>
      <c r="E462" s="0" t="n">
        <v>384317</v>
      </c>
      <c r="F462" s="0" t="n">
        <v>15630</v>
      </c>
      <c r="G462" s="0" t="n">
        <v>15161</v>
      </c>
      <c r="H462" s="0" t="n">
        <v>15326</v>
      </c>
    </row>
    <row r="463" customFormat="false" ht="15" hidden="false" customHeight="false" outlineLevel="0" collapsed="false">
      <c r="A463" s="0" t="n">
        <v>2020</v>
      </c>
      <c r="B463" s="0" t="s">
        <v>171</v>
      </c>
      <c r="C463" s="0" t="s">
        <v>172</v>
      </c>
      <c r="D463" s="0" t="s">
        <v>73</v>
      </c>
      <c r="E463" s="0" t="n">
        <v>740476</v>
      </c>
      <c r="F463" s="0" t="n">
        <v>23721</v>
      </c>
      <c r="G463" s="0" t="n">
        <v>21562</v>
      </c>
      <c r="H463" s="0" t="n">
        <v>20229</v>
      </c>
    </row>
    <row r="464" customFormat="false" ht="15" hidden="false" customHeight="false" outlineLevel="0" collapsed="false">
      <c r="A464" s="0" t="n">
        <v>2020</v>
      </c>
      <c r="B464" s="0" t="s">
        <v>167</v>
      </c>
      <c r="C464" s="0" t="s">
        <v>168</v>
      </c>
      <c r="D464" s="0" t="s">
        <v>73</v>
      </c>
      <c r="E464" s="0" t="n">
        <v>124328</v>
      </c>
      <c r="F464" s="0" t="n">
        <v>18358</v>
      </c>
      <c r="G464" s="0" t="n">
        <v>17181</v>
      </c>
      <c r="H464" s="0" t="n">
        <v>15280</v>
      </c>
    </row>
    <row r="465" customFormat="false" ht="15" hidden="false" customHeight="false" outlineLevel="0" collapsed="false">
      <c r="A465" s="0" t="n">
        <v>2020</v>
      </c>
      <c r="B465" s="0" t="s">
        <v>177</v>
      </c>
      <c r="C465" s="0" t="s">
        <v>178</v>
      </c>
      <c r="D465" s="0" t="s">
        <v>73</v>
      </c>
      <c r="E465" s="0" t="n">
        <v>309837</v>
      </c>
      <c r="F465" s="0" t="n">
        <v>18076</v>
      </c>
      <c r="G465" s="0" t="n">
        <v>18411</v>
      </c>
      <c r="H465" s="0" t="n">
        <v>16425</v>
      </c>
    </row>
    <row r="466" customFormat="false" ht="15" hidden="false" customHeight="false" outlineLevel="0" collapsed="false">
      <c r="A466" s="0" t="n">
        <v>2020</v>
      </c>
      <c r="B466" s="0" t="s">
        <v>180</v>
      </c>
      <c r="C466" s="0" t="s">
        <v>181</v>
      </c>
      <c r="D466" s="0" t="s">
        <v>72</v>
      </c>
      <c r="E466" s="0" t="n">
        <v>649346</v>
      </c>
      <c r="F466" s="0" t="n">
        <v>23560</v>
      </c>
      <c r="G466" s="0" t="n">
        <v>21379</v>
      </c>
      <c r="H466" s="0" t="n">
        <v>21096</v>
      </c>
    </row>
    <row r="467" customFormat="false" ht="15" hidden="false" customHeight="false" outlineLevel="0" collapsed="false">
      <c r="A467" s="0" t="n">
        <v>2020</v>
      </c>
      <c r="B467" s="0" t="s">
        <v>183</v>
      </c>
      <c r="C467" s="0" t="s">
        <v>184</v>
      </c>
      <c r="D467" s="0" t="s">
        <v>72</v>
      </c>
      <c r="E467" s="0" t="n">
        <v>108368</v>
      </c>
      <c r="F467" s="0" t="n">
        <v>21271</v>
      </c>
      <c r="G467" s="0" t="n">
        <v>20157</v>
      </c>
      <c r="H467" s="0" t="n">
        <v>19563</v>
      </c>
    </row>
    <row r="468" customFormat="false" ht="15" hidden="false" customHeight="false" outlineLevel="0" collapsed="false">
      <c r="A468" s="0" t="n">
        <v>2020</v>
      </c>
      <c r="B468" s="0" t="s">
        <v>186</v>
      </c>
      <c r="C468" s="0" t="s">
        <v>187</v>
      </c>
      <c r="D468" s="0" t="s">
        <v>73</v>
      </c>
      <c r="E468" s="0" t="n">
        <v>164757</v>
      </c>
      <c r="F468" s="0" t="n">
        <v>19831</v>
      </c>
      <c r="G468" s="0" t="n">
        <v>18209</v>
      </c>
      <c r="H468" s="0" t="n">
        <v>18336</v>
      </c>
    </row>
    <row r="469" customFormat="false" ht="15" hidden="false" customHeight="false" outlineLevel="0" collapsed="false">
      <c r="A469" s="0" t="n">
        <v>2020</v>
      </c>
      <c r="B469" s="0" t="s">
        <v>188</v>
      </c>
      <c r="C469" s="0" t="s">
        <v>189</v>
      </c>
      <c r="D469" s="0" t="s">
        <v>72</v>
      </c>
      <c r="E469" s="0" t="n">
        <v>151232</v>
      </c>
      <c r="F469" s="0" t="n">
        <v>19204</v>
      </c>
      <c r="G469" s="0" t="n">
        <v>17275</v>
      </c>
      <c r="H469" s="0" t="n">
        <v>16937</v>
      </c>
    </row>
    <row r="470" customFormat="false" ht="15" hidden="false" customHeight="false" outlineLevel="0" collapsed="false">
      <c r="A470" s="0" t="n">
        <v>2020</v>
      </c>
      <c r="B470" s="0" t="s">
        <v>190</v>
      </c>
      <c r="C470" s="0" t="s">
        <v>191</v>
      </c>
      <c r="D470" s="0" t="s">
        <v>74</v>
      </c>
      <c r="E470" s="0" t="n">
        <v>58858</v>
      </c>
      <c r="F470" s="0" t="n">
        <v>16496</v>
      </c>
      <c r="G470" s="0" t="n">
        <v>17569</v>
      </c>
      <c r="H470" s="0" t="n">
        <v>14872</v>
      </c>
    </row>
    <row r="471" customFormat="false" ht="15" hidden="false" customHeight="false" outlineLevel="0" collapsed="false">
      <c r="A471" s="0" t="n">
        <v>2020</v>
      </c>
      <c r="B471" s="0" t="s">
        <v>161</v>
      </c>
      <c r="C471" s="0" t="s">
        <v>162</v>
      </c>
      <c r="D471" s="0" t="s">
        <v>74</v>
      </c>
      <c r="E471" s="0" t="n">
        <v>93413</v>
      </c>
      <c r="F471" s="0" t="n">
        <v>14602</v>
      </c>
      <c r="G471" s="0" t="n">
        <v>14029</v>
      </c>
      <c r="H471" s="0" t="n">
        <v>14151</v>
      </c>
    </row>
    <row r="472" customFormat="false" ht="15" hidden="false" customHeight="false" outlineLevel="0" collapsed="false">
      <c r="A472" s="0" t="n">
        <v>2020</v>
      </c>
      <c r="B472" s="0" t="s">
        <v>200</v>
      </c>
      <c r="C472" s="0" t="s">
        <v>201</v>
      </c>
      <c r="D472" s="0" t="s">
        <v>72</v>
      </c>
      <c r="E472" s="0" t="n">
        <v>248933</v>
      </c>
      <c r="F472" s="0" t="n">
        <v>25032</v>
      </c>
      <c r="G472" s="0" t="n">
        <v>24467</v>
      </c>
      <c r="H472" s="0" t="n">
        <v>19948</v>
      </c>
    </row>
    <row r="473" customFormat="false" ht="15" hidden="false" customHeight="false" outlineLevel="0" collapsed="false">
      <c r="A473" s="0" t="n">
        <v>2020</v>
      </c>
      <c r="B473" s="0" t="s">
        <v>198</v>
      </c>
      <c r="C473" s="0" t="s">
        <v>199</v>
      </c>
      <c r="D473" s="0" t="s">
        <v>74</v>
      </c>
      <c r="E473" s="0" t="n">
        <v>517471</v>
      </c>
      <c r="F473" s="0" t="n">
        <v>16238</v>
      </c>
      <c r="G473" s="0" t="n">
        <v>15842</v>
      </c>
      <c r="H473" s="0" t="n">
        <v>15230</v>
      </c>
    </row>
    <row r="474" customFormat="false" ht="15" hidden="false" customHeight="false" outlineLevel="0" collapsed="false">
      <c r="A474" s="0" t="n">
        <v>2020</v>
      </c>
      <c r="B474" s="0" t="s">
        <v>202</v>
      </c>
      <c r="C474" s="0" t="s">
        <v>203</v>
      </c>
      <c r="D474" s="0" t="s">
        <v>73</v>
      </c>
      <c r="E474" s="0" t="n">
        <v>241864</v>
      </c>
      <c r="F474" s="0" t="n">
        <v>21719</v>
      </c>
      <c r="G474" s="0" t="n">
        <v>19806</v>
      </c>
      <c r="H474" s="0" t="n">
        <v>20272</v>
      </c>
    </row>
    <row r="475" customFormat="false" ht="15" hidden="false" customHeight="false" outlineLevel="0" collapsed="false">
      <c r="A475" s="0" t="n">
        <v>2020</v>
      </c>
      <c r="B475" s="0" t="s">
        <v>204</v>
      </c>
      <c r="C475" s="0" t="s">
        <v>205</v>
      </c>
      <c r="D475" s="0" t="s">
        <v>72</v>
      </c>
      <c r="E475" s="0" t="n">
        <v>165352</v>
      </c>
      <c r="F475" s="0" t="n">
        <v>23431</v>
      </c>
      <c r="G475" s="0" t="n">
        <v>23224</v>
      </c>
      <c r="H475" s="0" t="n">
        <v>19714</v>
      </c>
    </row>
    <row r="476" customFormat="false" ht="15" hidden="false" customHeight="false" outlineLevel="0" collapsed="false">
      <c r="A476" s="0" t="n">
        <v>2020</v>
      </c>
      <c r="B476" s="0" t="s">
        <v>196</v>
      </c>
      <c r="C476" s="0" t="s">
        <v>197</v>
      </c>
      <c r="D476" s="0" t="s">
        <v>73</v>
      </c>
      <c r="E476" s="0" t="n">
        <v>381393</v>
      </c>
      <c r="F476" s="0" t="n">
        <v>18357</v>
      </c>
      <c r="G476" s="0" t="n">
        <v>17805</v>
      </c>
      <c r="H476" s="0" t="n">
        <v>17332</v>
      </c>
    </row>
    <row r="477" customFormat="false" ht="15" hidden="false" customHeight="false" outlineLevel="0" collapsed="false">
      <c r="A477" s="0" t="n">
        <v>2020</v>
      </c>
      <c r="B477" s="0" t="s">
        <v>206</v>
      </c>
      <c r="C477" s="0" t="s">
        <v>207</v>
      </c>
      <c r="D477" s="0" t="s">
        <v>73</v>
      </c>
      <c r="E477" s="0" t="n">
        <v>279293</v>
      </c>
      <c r="F477" s="0" t="n">
        <v>21550</v>
      </c>
      <c r="G477" s="0" t="n">
        <v>20558</v>
      </c>
      <c r="H477" s="0" t="n">
        <v>18121</v>
      </c>
    </row>
    <row r="478" customFormat="false" ht="15" hidden="false" customHeight="false" outlineLevel="0" collapsed="false">
      <c r="A478" s="0" t="n">
        <v>2020</v>
      </c>
      <c r="B478" s="0" t="s">
        <v>222</v>
      </c>
      <c r="C478" s="0" t="s">
        <v>223</v>
      </c>
      <c r="D478" s="0" t="s">
        <v>72</v>
      </c>
      <c r="E478" s="0" t="n">
        <v>636684</v>
      </c>
      <c r="F478" s="0" t="n">
        <v>25692</v>
      </c>
      <c r="G478" s="0" t="n">
        <v>25656</v>
      </c>
      <c r="H478" s="0" t="n">
        <v>20609</v>
      </c>
    </row>
    <row r="479" customFormat="false" ht="15" hidden="false" customHeight="false" outlineLevel="0" collapsed="false">
      <c r="A479" s="0" t="n">
        <v>2020</v>
      </c>
      <c r="B479" s="0" t="s">
        <v>208</v>
      </c>
      <c r="C479" s="0" t="s">
        <v>209</v>
      </c>
      <c r="D479" s="0" t="s">
        <v>73</v>
      </c>
      <c r="E479" s="0" t="n">
        <v>229468</v>
      </c>
      <c r="F479" s="0" t="n">
        <v>19830</v>
      </c>
      <c r="G479" s="0" t="n">
        <v>18453</v>
      </c>
      <c r="H479" s="0" t="n">
        <v>16933</v>
      </c>
    </row>
    <row r="480" customFormat="false" ht="15" hidden="false" customHeight="false" outlineLevel="0" collapsed="false">
      <c r="A480" s="0" t="n">
        <v>2020</v>
      </c>
      <c r="B480" s="0" t="s">
        <v>217</v>
      </c>
      <c r="C480" s="0" t="s">
        <v>218</v>
      </c>
      <c r="D480" s="0" t="s">
        <v>75</v>
      </c>
      <c r="E480" s="0" t="n">
        <v>385159</v>
      </c>
      <c r="F480" s="0" t="n">
        <v>17444</v>
      </c>
      <c r="G480" s="0" t="n">
        <v>16699</v>
      </c>
      <c r="H480" s="0" t="n">
        <v>16923</v>
      </c>
    </row>
    <row r="481" customFormat="false" ht="15" hidden="false" customHeight="false" outlineLevel="0" collapsed="false">
      <c r="A481" s="0" t="n">
        <v>2020</v>
      </c>
      <c r="B481" s="0" t="s">
        <v>219</v>
      </c>
      <c r="C481" s="0" t="s">
        <v>50</v>
      </c>
      <c r="D481" s="0" t="s">
        <v>72</v>
      </c>
      <c r="E481" s="0" t="n">
        <v>2370575</v>
      </c>
      <c r="F481" s="0" t="n">
        <v>29378</v>
      </c>
      <c r="G481" s="0" t="n">
        <v>28507</v>
      </c>
      <c r="H481" s="0" t="n">
        <v>22726</v>
      </c>
    </row>
    <row r="482" customFormat="false" ht="15" hidden="false" customHeight="false" outlineLevel="0" collapsed="false">
      <c r="A482" s="0" t="n">
        <v>2020</v>
      </c>
      <c r="B482" s="0" t="s">
        <v>210</v>
      </c>
      <c r="C482" s="0" t="s">
        <v>211</v>
      </c>
      <c r="D482" s="0" t="s">
        <v>72</v>
      </c>
      <c r="E482" s="0" t="n">
        <v>299638</v>
      </c>
      <c r="F482" s="0" t="n">
        <v>22072</v>
      </c>
      <c r="G482" s="0" t="n">
        <v>21394</v>
      </c>
      <c r="H482" s="0" t="n">
        <v>17927</v>
      </c>
    </row>
    <row r="483" customFormat="false" ht="15" hidden="false" customHeight="false" outlineLevel="0" collapsed="false">
      <c r="A483" s="0" t="n">
        <v>2020</v>
      </c>
      <c r="B483" s="0" t="s">
        <v>220</v>
      </c>
      <c r="C483" s="0" t="s">
        <v>221</v>
      </c>
      <c r="D483" s="0" t="s">
        <v>72</v>
      </c>
      <c r="E483" s="0" t="n">
        <v>527669</v>
      </c>
      <c r="F483" s="0" t="n">
        <v>24410</v>
      </c>
      <c r="G483" s="0" t="n">
        <v>23307</v>
      </c>
      <c r="H483" s="0" t="n">
        <v>19598</v>
      </c>
    </row>
    <row r="484" customFormat="false" ht="15" hidden="false" customHeight="false" outlineLevel="0" collapsed="false">
      <c r="A484" s="0" t="n">
        <v>2020</v>
      </c>
      <c r="B484" s="0" t="s">
        <v>212</v>
      </c>
      <c r="C484" s="0" t="s">
        <v>213</v>
      </c>
      <c r="D484" s="0" t="s">
        <v>73</v>
      </c>
      <c r="E484" s="0" t="n">
        <v>136664</v>
      </c>
      <c r="F484" s="0" t="n">
        <v>20659</v>
      </c>
      <c r="G484" s="0" t="n">
        <v>19743</v>
      </c>
      <c r="H484" s="0" t="n">
        <v>18543</v>
      </c>
    </row>
    <row r="485" customFormat="false" ht="15" hidden="false" customHeight="false" outlineLevel="0" collapsed="false">
      <c r="A485" s="0" t="n">
        <v>2020</v>
      </c>
      <c r="B485" s="0" t="s">
        <v>214</v>
      </c>
      <c r="C485" s="0" t="s">
        <v>215</v>
      </c>
      <c r="D485" s="0" t="s">
        <v>74</v>
      </c>
      <c r="E485" s="0" t="n">
        <v>130612</v>
      </c>
      <c r="F485" s="0" t="n">
        <v>16723</v>
      </c>
      <c r="G485" s="0" t="n">
        <v>16291</v>
      </c>
      <c r="H485" s="0" t="n">
        <v>15944</v>
      </c>
    </row>
    <row r="486" customFormat="false" ht="15" hidden="false" customHeight="false" outlineLevel="0" collapsed="false">
      <c r="A486" s="0" t="n">
        <v>2020</v>
      </c>
      <c r="B486" s="0" t="s">
        <v>224</v>
      </c>
      <c r="C486" s="0" t="s">
        <v>51</v>
      </c>
      <c r="D486" s="0" t="s">
        <v>74</v>
      </c>
      <c r="E486" s="0" t="n">
        <v>1592165</v>
      </c>
      <c r="F486" s="0" t="n">
        <v>18561</v>
      </c>
      <c r="G486" s="0" t="n">
        <v>17273</v>
      </c>
      <c r="H486" s="0" t="n">
        <v>17943</v>
      </c>
    </row>
    <row r="487" customFormat="false" ht="15" hidden="false" customHeight="false" outlineLevel="0" collapsed="false">
      <c r="A487" s="0" t="n">
        <v>2020</v>
      </c>
      <c r="B487" s="0" t="s">
        <v>225</v>
      </c>
      <c r="C487" s="0" t="s">
        <v>226</v>
      </c>
      <c r="D487" s="0" t="s">
        <v>72</v>
      </c>
      <c r="E487" s="0" t="n">
        <v>266266</v>
      </c>
      <c r="F487" s="0" t="n">
        <v>23727</v>
      </c>
      <c r="G487" s="0" t="n">
        <v>22917</v>
      </c>
      <c r="H487" s="0" t="n">
        <v>19908</v>
      </c>
    </row>
    <row r="488" customFormat="false" ht="15" hidden="false" customHeight="false" outlineLevel="0" collapsed="false">
      <c r="A488" s="0" t="n">
        <v>2020</v>
      </c>
      <c r="B488" s="0" t="s">
        <v>227</v>
      </c>
      <c r="C488" s="0" t="s">
        <v>228</v>
      </c>
      <c r="D488" s="0" t="s">
        <v>75</v>
      </c>
      <c r="E488" s="0" t="n">
        <v>137688</v>
      </c>
      <c r="F488" s="0" t="n">
        <v>16346</v>
      </c>
      <c r="G488" s="0" t="n">
        <v>16132</v>
      </c>
      <c r="H488" s="0" t="n">
        <v>15591</v>
      </c>
    </row>
    <row r="489" customFormat="false" ht="15" hidden="false" customHeight="false" outlineLevel="0" collapsed="false">
      <c r="A489" s="0" t="n">
        <v>2020</v>
      </c>
      <c r="B489" s="0" t="s">
        <v>229</v>
      </c>
      <c r="C489" s="0" t="s">
        <v>230</v>
      </c>
      <c r="D489" s="0" t="s">
        <v>75</v>
      </c>
      <c r="E489" s="0" t="n">
        <v>103312</v>
      </c>
      <c r="F489" s="0" t="n">
        <v>16589</v>
      </c>
      <c r="G489" s="0" t="n">
        <v>16659</v>
      </c>
      <c r="H489" s="0" t="n">
        <v>15499</v>
      </c>
    </row>
    <row r="490" customFormat="false" ht="15" hidden="false" customHeight="false" outlineLevel="0" collapsed="false">
      <c r="A490" s="0" t="n">
        <v>2020</v>
      </c>
      <c r="B490" s="0" t="s">
        <v>233</v>
      </c>
      <c r="C490" s="0" t="s">
        <v>234</v>
      </c>
      <c r="D490" s="0" t="s">
        <v>75</v>
      </c>
      <c r="E490" s="0" t="n">
        <v>678121</v>
      </c>
      <c r="F490" s="0" t="n">
        <v>18300</v>
      </c>
      <c r="G490" s="0" t="n">
        <v>17442</v>
      </c>
      <c r="H490" s="0" t="n">
        <v>17995</v>
      </c>
    </row>
    <row r="491" customFormat="false" ht="15" hidden="false" customHeight="false" outlineLevel="0" collapsed="false">
      <c r="A491" s="0" t="n">
        <v>2020</v>
      </c>
      <c r="B491" s="0" t="s">
        <v>246</v>
      </c>
      <c r="C491" s="0" t="s">
        <v>247</v>
      </c>
      <c r="D491" s="0" t="s">
        <v>72</v>
      </c>
      <c r="E491" s="0" t="n">
        <v>217927</v>
      </c>
      <c r="F491" s="0" t="n">
        <v>23424</v>
      </c>
      <c r="G491" s="0" t="n">
        <v>22381</v>
      </c>
      <c r="H491" s="0" t="n">
        <v>19092</v>
      </c>
    </row>
    <row r="492" customFormat="false" ht="15" hidden="false" customHeight="false" outlineLevel="0" collapsed="false">
      <c r="A492" s="0" t="n">
        <v>2020</v>
      </c>
      <c r="B492" s="0" t="s">
        <v>231</v>
      </c>
      <c r="C492" s="0" t="s">
        <v>232</v>
      </c>
      <c r="D492" s="0" t="s">
        <v>72</v>
      </c>
      <c r="E492" s="0" t="n">
        <v>682238</v>
      </c>
      <c r="F492" s="0" t="n">
        <v>23530</v>
      </c>
      <c r="G492" s="0" t="n">
        <v>22290</v>
      </c>
      <c r="H492" s="0" t="n">
        <v>18982</v>
      </c>
    </row>
    <row r="493" customFormat="false" ht="15" hidden="false" customHeight="false" outlineLevel="0" collapsed="false">
      <c r="A493" s="0" t="n">
        <v>2020</v>
      </c>
      <c r="B493" s="0" t="s">
        <v>244</v>
      </c>
      <c r="C493" s="0" t="s">
        <v>245</v>
      </c>
      <c r="D493" s="0" t="s">
        <v>74</v>
      </c>
      <c r="E493" s="0" t="n">
        <v>217691</v>
      </c>
      <c r="F493" s="0" t="n">
        <v>19276</v>
      </c>
      <c r="G493" s="0" t="n">
        <v>18981</v>
      </c>
      <c r="H493" s="0" t="n">
        <v>17250</v>
      </c>
    </row>
    <row r="494" customFormat="false" ht="15" hidden="false" customHeight="false" outlineLevel="0" collapsed="false">
      <c r="A494" s="0" t="n">
        <v>2020</v>
      </c>
      <c r="B494" s="0" t="s">
        <v>239</v>
      </c>
      <c r="C494" s="0" t="s">
        <v>240</v>
      </c>
      <c r="D494" s="0" t="s">
        <v>73</v>
      </c>
      <c r="E494" s="0" t="n">
        <v>467364</v>
      </c>
      <c r="F494" s="0" t="n">
        <v>20526</v>
      </c>
      <c r="G494" s="0" t="n">
        <v>19626</v>
      </c>
      <c r="H494" s="0" t="n">
        <v>17996</v>
      </c>
    </row>
    <row r="495" customFormat="false" ht="15" hidden="false" customHeight="false" outlineLevel="0" collapsed="false">
      <c r="A495" s="0" t="n">
        <v>2020</v>
      </c>
      <c r="B495" s="0" t="s">
        <v>248</v>
      </c>
      <c r="C495" s="0" t="s">
        <v>249</v>
      </c>
      <c r="D495" s="0" t="s">
        <v>73</v>
      </c>
      <c r="E495" s="0" t="n">
        <v>301728</v>
      </c>
      <c r="F495" s="0" t="n">
        <v>22499</v>
      </c>
      <c r="G495" s="0" t="n">
        <v>21353</v>
      </c>
      <c r="H495" s="0" t="n">
        <v>19428</v>
      </c>
    </row>
    <row r="496" customFormat="false" ht="15" hidden="false" customHeight="false" outlineLevel="0" collapsed="false">
      <c r="A496" s="0" t="n">
        <v>2020</v>
      </c>
      <c r="B496" s="0" t="s">
        <v>252</v>
      </c>
      <c r="C496" s="0" t="s">
        <v>253</v>
      </c>
      <c r="D496" s="0" t="s">
        <v>72</v>
      </c>
      <c r="E496" s="0" t="n">
        <v>235818</v>
      </c>
      <c r="F496" s="0" t="n">
        <v>22476</v>
      </c>
      <c r="G496" s="0" t="n">
        <v>21568</v>
      </c>
      <c r="H496" s="0" t="n">
        <v>18471</v>
      </c>
    </row>
    <row r="497" customFormat="false" ht="15" hidden="false" customHeight="false" outlineLevel="0" collapsed="false">
      <c r="A497" s="0" t="n">
        <v>2020</v>
      </c>
      <c r="B497" s="0" t="s">
        <v>256</v>
      </c>
      <c r="C497" s="0" t="s">
        <v>257</v>
      </c>
      <c r="D497" s="0" t="s">
        <v>73</v>
      </c>
      <c r="E497" s="0" t="n">
        <v>194773</v>
      </c>
      <c r="F497" s="0" t="n">
        <v>21036</v>
      </c>
      <c r="G497" s="0" t="n">
        <v>18300</v>
      </c>
      <c r="H497" s="0" t="n">
        <v>18123</v>
      </c>
    </row>
    <row r="498" customFormat="false" ht="15" hidden="false" customHeight="false" outlineLevel="0" collapsed="false">
      <c r="A498" s="0" t="n">
        <v>2020</v>
      </c>
      <c r="B498" s="0" t="s">
        <v>235</v>
      </c>
      <c r="C498" s="0" t="s">
        <v>236</v>
      </c>
      <c r="D498" s="0" t="s">
        <v>72</v>
      </c>
      <c r="E498" s="0" t="n">
        <v>338349</v>
      </c>
      <c r="F498" s="0" t="n">
        <v>25267</v>
      </c>
      <c r="G498" s="0" t="n">
        <v>24078</v>
      </c>
      <c r="H498" s="0" t="n">
        <v>20219</v>
      </c>
    </row>
    <row r="499" customFormat="false" ht="15" hidden="false" customHeight="false" outlineLevel="0" collapsed="false">
      <c r="A499" s="0" t="n">
        <v>2020</v>
      </c>
      <c r="B499" s="0" t="s">
        <v>250</v>
      </c>
      <c r="C499" s="0" t="s">
        <v>251</v>
      </c>
      <c r="D499" s="0" t="s">
        <v>73</v>
      </c>
      <c r="E499" s="0" t="n">
        <v>209963</v>
      </c>
      <c r="F499" s="0" t="n">
        <v>20245</v>
      </c>
      <c r="G499" s="0" t="n">
        <v>19580</v>
      </c>
      <c r="H499" s="0" t="n">
        <v>17334</v>
      </c>
    </row>
    <row r="500" customFormat="false" ht="15" hidden="false" customHeight="false" outlineLevel="0" collapsed="false">
      <c r="A500" s="0" t="n">
        <v>2020</v>
      </c>
      <c r="B500" s="0" t="s">
        <v>242</v>
      </c>
      <c r="C500" s="0" t="s">
        <v>243</v>
      </c>
      <c r="D500" s="0" t="s">
        <v>73</v>
      </c>
      <c r="E500" s="0" t="n">
        <v>263710</v>
      </c>
      <c r="F500" s="0" t="n">
        <v>20627</v>
      </c>
      <c r="G500" s="0" t="n">
        <v>19860</v>
      </c>
      <c r="H500" s="0" t="n">
        <v>17009</v>
      </c>
    </row>
    <row r="501" customFormat="false" ht="15" hidden="false" customHeight="false" outlineLevel="0" collapsed="false">
      <c r="A501" s="0" t="n">
        <v>2020</v>
      </c>
      <c r="B501" s="0" t="s">
        <v>237</v>
      </c>
      <c r="C501" s="0" t="s">
        <v>238</v>
      </c>
      <c r="D501" s="0" t="s">
        <v>72</v>
      </c>
      <c r="E501" s="0" t="n">
        <v>397634</v>
      </c>
      <c r="F501" s="0" t="n">
        <v>22935</v>
      </c>
      <c r="G501" s="0" t="n">
        <v>22456</v>
      </c>
      <c r="H501" s="0" t="n">
        <v>19274</v>
      </c>
    </row>
    <row r="502" customFormat="false" ht="15" hidden="false" customHeight="false" outlineLevel="0" collapsed="false">
      <c r="A502" s="0" t="n">
        <v>2020</v>
      </c>
      <c r="B502" s="0" t="s">
        <v>254</v>
      </c>
      <c r="C502" s="0" t="s">
        <v>255</v>
      </c>
      <c r="D502" s="0" t="s">
        <v>74</v>
      </c>
      <c r="E502" s="0" t="n">
        <v>240035</v>
      </c>
      <c r="F502" s="0" t="n">
        <v>16917</v>
      </c>
      <c r="G502" s="0" t="n">
        <v>17658</v>
      </c>
      <c r="H502" s="0" t="n">
        <v>14827</v>
      </c>
    </row>
    <row r="503" customFormat="false" ht="15" hidden="false" customHeight="false" outlineLevel="0" collapsed="false">
      <c r="A503" s="0" t="n">
        <v>2020</v>
      </c>
      <c r="B503" s="0" t="s">
        <v>260</v>
      </c>
      <c r="C503" s="0" t="s">
        <v>261</v>
      </c>
      <c r="D503" s="0" t="s">
        <v>72</v>
      </c>
      <c r="E503" s="0" t="n">
        <v>301893</v>
      </c>
      <c r="F503" s="0" t="n">
        <v>22224</v>
      </c>
      <c r="G503" s="0" t="n">
        <v>20700</v>
      </c>
      <c r="H503" s="0" t="n">
        <v>18993</v>
      </c>
    </row>
    <row r="504" customFormat="false" ht="15" hidden="false" customHeight="false" outlineLevel="0" collapsed="false">
      <c r="A504" s="0" t="n">
        <v>2020</v>
      </c>
      <c r="B504" s="0" t="s">
        <v>262</v>
      </c>
      <c r="C504" s="0" t="s">
        <v>263</v>
      </c>
      <c r="D504" s="0" t="s">
        <v>74</v>
      </c>
      <c r="E504" s="0" t="n">
        <v>325377</v>
      </c>
      <c r="F504" s="0" t="n">
        <v>16030</v>
      </c>
      <c r="G504" s="0" t="n">
        <v>15081</v>
      </c>
      <c r="H504" s="0" t="n">
        <v>15637</v>
      </c>
    </row>
    <row r="505" customFormat="false" ht="15" hidden="false" customHeight="false" outlineLevel="0" collapsed="false">
      <c r="A505" s="0" t="n">
        <v>2020</v>
      </c>
      <c r="B505" s="0" t="s">
        <v>264</v>
      </c>
      <c r="C505" s="0" t="s">
        <v>265</v>
      </c>
      <c r="D505" s="0" t="s">
        <v>72</v>
      </c>
      <c r="E505" s="0" t="n">
        <v>388397</v>
      </c>
      <c r="F505" s="0" t="n">
        <v>24087</v>
      </c>
      <c r="G505" s="0" t="n">
        <v>23039</v>
      </c>
      <c r="H505" s="0" t="n">
        <v>19622</v>
      </c>
    </row>
    <row r="506" customFormat="false" ht="15" hidden="false" customHeight="false" outlineLevel="0" collapsed="false">
      <c r="A506" s="0" t="n">
        <v>2020</v>
      </c>
      <c r="B506" s="0" t="s">
        <v>258</v>
      </c>
      <c r="C506" s="0" t="s">
        <v>259</v>
      </c>
      <c r="D506" s="0" t="s">
        <v>75</v>
      </c>
      <c r="E506" s="0" t="n">
        <v>202418</v>
      </c>
      <c r="F506" s="0" t="n">
        <v>15143</v>
      </c>
      <c r="G506" s="0" t="n">
        <v>14570</v>
      </c>
      <c r="H506" s="0" t="n">
        <v>15117</v>
      </c>
    </row>
    <row r="507" customFormat="false" ht="15" hidden="false" customHeight="false" outlineLevel="0" collapsed="false">
      <c r="A507" s="0" t="n">
        <v>2020</v>
      </c>
      <c r="B507" s="0" t="s">
        <v>266</v>
      </c>
      <c r="C507" s="0" t="s">
        <v>267</v>
      </c>
      <c r="D507" s="0" t="s">
        <v>73</v>
      </c>
      <c r="E507" s="0" t="n">
        <v>105884</v>
      </c>
      <c r="F507" s="0" t="n">
        <v>19324</v>
      </c>
      <c r="G507" s="0" t="n">
        <v>18710</v>
      </c>
      <c r="H507" s="0" t="n">
        <v>18591</v>
      </c>
    </row>
    <row r="508" customFormat="false" ht="15" hidden="false" customHeight="false" outlineLevel="0" collapsed="false">
      <c r="A508" s="0" t="n">
        <v>2020</v>
      </c>
      <c r="B508" s="0" t="s">
        <v>270</v>
      </c>
      <c r="C508" s="0" t="s">
        <v>271</v>
      </c>
      <c r="D508" s="0" t="s">
        <v>73</v>
      </c>
      <c r="E508" s="0" t="n">
        <v>2867450</v>
      </c>
      <c r="F508" s="0" t="n">
        <v>25191</v>
      </c>
      <c r="G508" s="0" t="n">
        <v>23511</v>
      </c>
      <c r="H508" s="0" t="n">
        <v>22968</v>
      </c>
    </row>
    <row r="509" customFormat="false" ht="15" hidden="false" customHeight="false" outlineLevel="0" collapsed="false">
      <c r="A509" s="0" t="n">
        <v>2020</v>
      </c>
      <c r="B509" s="0" t="s">
        <v>268</v>
      </c>
      <c r="C509" s="0" t="s">
        <v>269</v>
      </c>
      <c r="D509" s="0" t="s">
        <v>72</v>
      </c>
      <c r="E509" s="0" t="n">
        <v>257746</v>
      </c>
      <c r="F509" s="0" t="n">
        <v>19540</v>
      </c>
      <c r="G509" s="0" t="n">
        <v>17752</v>
      </c>
      <c r="H509" s="0" t="n">
        <v>16840</v>
      </c>
    </row>
    <row r="510" customFormat="false" ht="15" hidden="false" customHeight="false" outlineLevel="0" collapsed="false">
      <c r="A510" s="0" t="n">
        <v>2020</v>
      </c>
      <c r="B510" s="0" t="s">
        <v>272</v>
      </c>
      <c r="C510" s="0" t="s">
        <v>273</v>
      </c>
      <c r="D510" s="0" t="s">
        <v>72</v>
      </c>
      <c r="E510" s="0" t="n">
        <v>178205</v>
      </c>
      <c r="F510" s="0" t="n">
        <v>19940</v>
      </c>
      <c r="G510" s="0" t="n">
        <v>19469</v>
      </c>
      <c r="H510" s="0" t="n">
        <v>17070</v>
      </c>
    </row>
    <row r="511" customFormat="false" ht="15" hidden="false" customHeight="false" outlineLevel="0" collapsed="false">
      <c r="A511" s="0" t="n">
        <v>2020</v>
      </c>
      <c r="B511" s="0" t="s">
        <v>274</v>
      </c>
      <c r="C511" s="0" t="s">
        <v>275</v>
      </c>
      <c r="D511" s="0" t="s">
        <v>74</v>
      </c>
      <c r="E511" s="0" t="n">
        <v>668739</v>
      </c>
      <c r="F511" s="0" t="n">
        <v>16751</v>
      </c>
      <c r="G511" s="0" t="n">
        <v>16085</v>
      </c>
      <c r="H511" s="0" t="n">
        <v>15696</v>
      </c>
    </row>
    <row r="512" customFormat="false" ht="15" hidden="false" customHeight="false" outlineLevel="0" collapsed="false">
      <c r="A512" s="0" t="n">
        <v>2020</v>
      </c>
      <c r="B512" s="0" t="s">
        <v>280</v>
      </c>
      <c r="C512" s="0" t="s">
        <v>281</v>
      </c>
      <c r="D512" s="0" t="s">
        <v>73</v>
      </c>
      <c r="E512" s="0" t="n">
        <v>200060</v>
      </c>
      <c r="F512" s="0" t="n">
        <v>22290</v>
      </c>
      <c r="G512" s="0" t="n">
        <v>20580</v>
      </c>
      <c r="H512" s="0" t="n">
        <v>19697</v>
      </c>
    </row>
    <row r="513" customFormat="false" ht="15" hidden="false" customHeight="false" outlineLevel="0" collapsed="false">
      <c r="A513" s="0" t="n">
        <v>2020</v>
      </c>
      <c r="B513" s="0" t="s">
        <v>284</v>
      </c>
      <c r="C513" s="0" t="s">
        <v>285</v>
      </c>
      <c r="D513" s="0" t="s">
        <v>72</v>
      </c>
      <c r="E513" s="0" t="n">
        <v>135307</v>
      </c>
      <c r="F513" s="0" t="n">
        <v>20619</v>
      </c>
      <c r="G513" s="0" t="n">
        <v>19958</v>
      </c>
      <c r="H513" s="0" t="n">
        <v>16941</v>
      </c>
    </row>
    <row r="514" customFormat="false" ht="15" hidden="false" customHeight="false" outlineLevel="0" collapsed="false">
      <c r="A514" s="0" t="n">
        <v>2020</v>
      </c>
      <c r="B514" s="0" t="s">
        <v>194</v>
      </c>
      <c r="C514" s="0" t="s">
        <v>195</v>
      </c>
      <c r="D514" s="0" t="s">
        <v>72</v>
      </c>
      <c r="E514" s="0" t="n">
        <v>160478</v>
      </c>
      <c r="F514" s="0" t="n">
        <v>22089</v>
      </c>
      <c r="G514" s="0" t="n">
        <v>20888</v>
      </c>
      <c r="H514" s="0" t="n">
        <v>20085</v>
      </c>
    </row>
    <row r="515" customFormat="false" ht="15" hidden="false" customHeight="false" outlineLevel="0" collapsed="false">
      <c r="A515" s="0" t="n">
        <v>2020</v>
      </c>
      <c r="B515" s="0" t="s">
        <v>282</v>
      </c>
      <c r="C515" s="0" t="s">
        <v>283</v>
      </c>
      <c r="D515" s="0" t="s">
        <v>75</v>
      </c>
      <c r="E515" s="0" t="n">
        <v>230964</v>
      </c>
      <c r="F515" s="0" t="n">
        <v>17287</v>
      </c>
      <c r="G515" s="0" t="n">
        <v>17235</v>
      </c>
      <c r="H515" s="0" t="n">
        <v>17089</v>
      </c>
    </row>
    <row r="516" customFormat="false" ht="15" hidden="false" customHeight="false" outlineLevel="0" collapsed="false">
      <c r="A516" s="0" t="n">
        <v>2020</v>
      </c>
      <c r="B516" s="0" t="s">
        <v>276</v>
      </c>
      <c r="C516" s="0" t="s">
        <v>277</v>
      </c>
      <c r="D516" s="0" t="s">
        <v>75</v>
      </c>
      <c r="E516" s="0" t="n">
        <v>322771</v>
      </c>
      <c r="F516" s="0" t="n">
        <v>17987</v>
      </c>
      <c r="G516" s="0" t="n">
        <v>17031</v>
      </c>
      <c r="H516" s="0" t="n">
        <v>17459</v>
      </c>
    </row>
    <row r="517" customFormat="false" ht="15" hidden="false" customHeight="false" outlineLevel="0" collapsed="false">
      <c r="A517" s="0" t="n">
        <v>2020</v>
      </c>
      <c r="B517" s="0" t="s">
        <v>286</v>
      </c>
      <c r="C517" s="0" t="s">
        <v>287</v>
      </c>
      <c r="D517" s="0" t="s">
        <v>75</v>
      </c>
      <c r="E517" s="0" t="n">
        <v>220596</v>
      </c>
      <c r="F517" s="0" t="n">
        <v>16066</v>
      </c>
      <c r="G517" s="0" t="n">
        <v>16273</v>
      </c>
      <c r="H517" s="0" t="n">
        <v>15211</v>
      </c>
    </row>
    <row r="518" customFormat="false" ht="15" hidden="false" customHeight="false" outlineLevel="0" collapsed="false">
      <c r="A518" s="0" t="n">
        <v>2020</v>
      </c>
      <c r="B518" s="0" t="s">
        <v>278</v>
      </c>
      <c r="C518" s="0" t="s">
        <v>279</v>
      </c>
      <c r="D518" s="0" t="s">
        <v>72</v>
      </c>
      <c r="E518" s="0" t="n">
        <v>205189</v>
      </c>
      <c r="F518" s="0" t="n">
        <v>21733</v>
      </c>
      <c r="G518" s="0" t="n">
        <v>20153</v>
      </c>
      <c r="H518" s="0" t="n">
        <v>18813</v>
      </c>
    </row>
    <row r="519" customFormat="false" ht="15" hidden="false" customHeight="false" outlineLevel="0" collapsed="false">
      <c r="A519" s="0" t="n">
        <v>2020</v>
      </c>
      <c r="B519" s="0" t="s">
        <v>288</v>
      </c>
      <c r="C519" s="0" t="s">
        <v>289</v>
      </c>
      <c r="D519" s="0" t="s">
        <v>74</v>
      </c>
      <c r="E519" s="0" t="n">
        <v>362816</v>
      </c>
      <c r="F519" s="0" t="n">
        <v>17564</v>
      </c>
      <c r="G519" s="0" t="n">
        <v>16762</v>
      </c>
      <c r="H519" s="0" t="n">
        <v>17983</v>
      </c>
    </row>
    <row r="520" customFormat="false" ht="15" hidden="false" customHeight="false" outlineLevel="0" collapsed="false">
      <c r="A520" s="0" t="n">
        <v>2020</v>
      </c>
      <c r="B520" s="0" t="s">
        <v>290</v>
      </c>
      <c r="C520" s="0" t="s">
        <v>291</v>
      </c>
      <c r="D520" s="0" t="s">
        <v>74</v>
      </c>
      <c r="E520" s="0" t="n">
        <v>215339</v>
      </c>
      <c r="F520" s="0" t="n">
        <v>17631</v>
      </c>
      <c r="G520" s="0" t="n">
        <v>17230</v>
      </c>
      <c r="H520" s="0" t="n">
        <v>15498</v>
      </c>
    </row>
    <row r="521" customFormat="false" ht="15" hidden="false" customHeight="false" outlineLevel="0" collapsed="false">
      <c r="A521" s="0" t="n">
        <v>2020</v>
      </c>
      <c r="B521" s="0" t="s">
        <v>298</v>
      </c>
      <c r="C521" s="0" t="s">
        <v>299</v>
      </c>
      <c r="D521" s="0" t="s">
        <v>72</v>
      </c>
      <c r="E521" s="0" t="n">
        <v>424451</v>
      </c>
      <c r="F521" s="0" t="n">
        <v>22353</v>
      </c>
      <c r="G521" s="0" t="n">
        <v>20066</v>
      </c>
      <c r="H521" s="0" t="n">
        <v>19032</v>
      </c>
    </row>
    <row r="522" customFormat="false" ht="15" hidden="false" customHeight="false" outlineLevel="0" collapsed="false">
      <c r="A522" s="0" t="n">
        <v>2020</v>
      </c>
      <c r="B522" s="0" t="s">
        <v>294</v>
      </c>
      <c r="C522" s="0" t="s">
        <v>295</v>
      </c>
      <c r="D522" s="0" t="s">
        <v>72</v>
      </c>
      <c r="E522" s="0" t="n">
        <v>1624316</v>
      </c>
      <c r="F522" s="0" t="n">
        <v>23912</v>
      </c>
      <c r="G522" s="0" t="n">
        <v>22904</v>
      </c>
      <c r="H522" s="0" t="n">
        <v>20643</v>
      </c>
    </row>
    <row r="523" customFormat="false" ht="15" hidden="false" customHeight="false" outlineLevel="0" collapsed="false">
      <c r="A523" s="0" t="n">
        <v>2020</v>
      </c>
      <c r="B523" s="0" t="s">
        <v>296</v>
      </c>
      <c r="C523" s="0" t="s">
        <v>297</v>
      </c>
      <c r="D523" s="0" t="s">
        <v>75</v>
      </c>
      <c r="E523" s="0" t="n">
        <v>257977</v>
      </c>
      <c r="F523" s="0" t="n">
        <v>15805</v>
      </c>
      <c r="G523" s="0" t="n">
        <v>15792</v>
      </c>
      <c r="H523" s="0" t="n">
        <v>15349</v>
      </c>
    </row>
    <row r="524" customFormat="false" ht="15" hidden="false" customHeight="false" outlineLevel="0" collapsed="false">
      <c r="A524" s="0" t="n">
        <v>2020</v>
      </c>
      <c r="B524" s="0" t="s">
        <v>292</v>
      </c>
      <c r="C524" s="0" t="s">
        <v>293</v>
      </c>
      <c r="D524" s="0" t="s">
        <v>73</v>
      </c>
      <c r="E524" s="0" t="n">
        <v>157539</v>
      </c>
      <c r="F524" s="0" t="n">
        <v>20436</v>
      </c>
      <c r="G524" s="0" t="n">
        <v>19461</v>
      </c>
      <c r="H524" s="0" t="n">
        <v>18878</v>
      </c>
    </row>
    <row r="525" customFormat="false" ht="15" hidden="false" customHeight="false" outlineLevel="0" collapsed="false">
      <c r="A525" s="0" t="n">
        <v>2020</v>
      </c>
      <c r="B525" s="0" t="s">
        <v>302</v>
      </c>
      <c r="C525" s="0" t="s">
        <v>303</v>
      </c>
      <c r="D525" s="0" t="s">
        <v>72</v>
      </c>
      <c r="E525" s="0" t="n">
        <v>179639</v>
      </c>
      <c r="F525" s="0" t="n">
        <v>24199</v>
      </c>
      <c r="G525" s="0" t="n">
        <v>22988</v>
      </c>
      <c r="H525" s="0" t="n">
        <v>21446</v>
      </c>
    </row>
    <row r="526" customFormat="false" ht="15" hidden="false" customHeight="false" outlineLevel="0" collapsed="false">
      <c r="A526" s="0" t="n">
        <v>2020</v>
      </c>
      <c r="B526" s="0" t="s">
        <v>300</v>
      </c>
      <c r="C526" s="0" t="s">
        <v>301</v>
      </c>
      <c r="D526" s="0" t="s">
        <v>72</v>
      </c>
      <c r="E526" s="0" t="n">
        <v>649525</v>
      </c>
      <c r="F526" s="0" t="n">
        <v>22738</v>
      </c>
      <c r="G526" s="0" t="n">
        <v>21775</v>
      </c>
      <c r="H526" s="0" t="n">
        <v>18046</v>
      </c>
    </row>
    <row r="527" customFormat="false" ht="15" hidden="false" customHeight="false" outlineLevel="0" collapsed="false">
      <c r="A527" s="0" t="n">
        <v>2020</v>
      </c>
      <c r="B527" s="0" t="s">
        <v>304</v>
      </c>
      <c r="C527" s="0" t="s">
        <v>305</v>
      </c>
      <c r="D527" s="0" t="s">
        <v>72</v>
      </c>
      <c r="E527" s="0" t="n">
        <v>404724</v>
      </c>
      <c r="F527" s="0" t="n">
        <v>22178</v>
      </c>
      <c r="G527" s="0" t="n">
        <v>21522</v>
      </c>
      <c r="H527" s="0" t="n">
        <v>18690</v>
      </c>
    </row>
    <row r="528" customFormat="false" ht="15" hidden="false" customHeight="false" outlineLevel="0" collapsed="false">
      <c r="A528" s="0" t="n">
        <v>2020</v>
      </c>
      <c r="B528" s="0" t="s">
        <v>306</v>
      </c>
      <c r="C528" s="0" t="s">
        <v>307</v>
      </c>
      <c r="D528" s="0" t="s">
        <v>72</v>
      </c>
      <c r="E528" s="0" t="n">
        <v>626665</v>
      </c>
      <c r="F528" s="0" t="n">
        <v>23646</v>
      </c>
      <c r="G528" s="0" t="n">
        <v>23484</v>
      </c>
      <c r="H528" s="0" t="n">
        <v>19582</v>
      </c>
    </row>
    <row r="529" customFormat="false" ht="15" hidden="false" customHeight="false" outlineLevel="0" collapsed="false">
      <c r="A529" s="0" t="n">
        <v>2020</v>
      </c>
      <c r="B529" s="0" t="s">
        <v>310</v>
      </c>
      <c r="C529" s="0" t="s">
        <v>311</v>
      </c>
      <c r="D529" s="0" t="s">
        <v>72</v>
      </c>
      <c r="E529" s="0" t="n">
        <v>114392</v>
      </c>
      <c r="F529" s="0" t="n">
        <v>20183</v>
      </c>
      <c r="G529" s="0" t="n">
        <v>19611</v>
      </c>
      <c r="H529" s="0" t="n">
        <v>17420</v>
      </c>
    </row>
    <row r="530" customFormat="false" ht="15" hidden="false" customHeight="false" outlineLevel="0" collapsed="false">
      <c r="A530" s="0" t="n">
        <v>2020</v>
      </c>
      <c r="B530" s="0" t="s">
        <v>312</v>
      </c>
      <c r="C530" s="0" t="s">
        <v>313</v>
      </c>
      <c r="D530" s="0" t="s">
        <v>72</v>
      </c>
      <c r="E530" s="0" t="n">
        <v>126698</v>
      </c>
      <c r="F530" s="0" t="n">
        <v>21686</v>
      </c>
      <c r="G530" s="0" t="n">
        <v>21165</v>
      </c>
      <c r="H530" s="0" t="n">
        <v>18790</v>
      </c>
    </row>
    <row r="531" customFormat="false" ht="15" hidden="false" customHeight="false" outlineLevel="0" collapsed="false">
      <c r="A531" s="0" t="n">
        <v>2020</v>
      </c>
      <c r="B531" s="0" t="s">
        <v>308</v>
      </c>
      <c r="C531" s="0" t="s">
        <v>309</v>
      </c>
      <c r="D531" s="0" t="s">
        <v>72</v>
      </c>
      <c r="E531" s="0" t="n">
        <v>629156</v>
      </c>
      <c r="F531" s="0" t="n">
        <v>21802</v>
      </c>
      <c r="G531" s="0" t="n">
        <v>20476</v>
      </c>
      <c r="H531" s="0" t="n">
        <v>19023</v>
      </c>
    </row>
    <row r="532" customFormat="false" ht="15" hidden="false" customHeight="false" outlineLevel="0" collapsed="false">
      <c r="A532" s="0" t="n">
        <v>2020</v>
      </c>
      <c r="B532" s="0" t="s">
        <v>318</v>
      </c>
      <c r="C532" s="0" t="s">
        <v>319</v>
      </c>
      <c r="D532" s="0" t="s">
        <v>72</v>
      </c>
      <c r="E532" s="0" t="n">
        <v>634761</v>
      </c>
      <c r="F532" s="0" t="n">
        <v>22931</v>
      </c>
      <c r="G532" s="0" t="n">
        <v>22233</v>
      </c>
      <c r="H532" s="0" t="n">
        <v>18216</v>
      </c>
    </row>
    <row r="533" customFormat="false" ht="15" hidden="false" customHeight="false" outlineLevel="0" collapsed="false">
      <c r="A533" s="0" t="n">
        <v>2020</v>
      </c>
      <c r="B533" s="0" t="s">
        <v>314</v>
      </c>
      <c r="C533" s="0" t="s">
        <v>315</v>
      </c>
      <c r="D533" s="0" t="s">
        <v>72</v>
      </c>
      <c r="E533" s="0" t="n">
        <v>692768</v>
      </c>
      <c r="F533" s="0" t="n">
        <v>22464</v>
      </c>
      <c r="G533" s="0" t="n">
        <v>21176</v>
      </c>
      <c r="H533" s="0" t="n">
        <v>18475</v>
      </c>
    </row>
    <row r="534" customFormat="false" ht="15" hidden="false" customHeight="false" outlineLevel="0" collapsed="false">
      <c r="A534" s="0" t="n">
        <v>2020</v>
      </c>
      <c r="B534" s="0" t="s">
        <v>320</v>
      </c>
      <c r="C534" s="0" t="s">
        <v>321</v>
      </c>
      <c r="D534" s="0" t="s">
        <v>73</v>
      </c>
      <c r="E534" s="0" t="n">
        <v>215106</v>
      </c>
      <c r="F534" s="0" t="n">
        <v>18874</v>
      </c>
      <c r="G534" s="0" t="n">
        <v>18192</v>
      </c>
      <c r="H534" s="0" t="n">
        <v>18211</v>
      </c>
    </row>
    <row r="535" customFormat="false" ht="15" hidden="false" customHeight="false" outlineLevel="0" collapsed="false">
      <c r="A535" s="0" t="n">
        <v>2020</v>
      </c>
      <c r="B535" s="0" t="s">
        <v>316</v>
      </c>
      <c r="C535" s="0" t="s">
        <v>317</v>
      </c>
      <c r="D535" s="0" t="s">
        <v>74</v>
      </c>
      <c r="E535" s="0" t="n">
        <v>97701</v>
      </c>
      <c r="F535" s="0" t="n">
        <v>14801</v>
      </c>
      <c r="G535" s="0" t="n">
        <v>14157</v>
      </c>
      <c r="H535" s="0" t="n">
        <v>14574</v>
      </c>
    </row>
    <row r="536" customFormat="false" ht="15" hidden="false" customHeight="false" outlineLevel="0" collapsed="false">
      <c r="A536" s="0" t="n">
        <v>2021</v>
      </c>
      <c r="B536" s="0" t="s">
        <v>90</v>
      </c>
      <c r="C536" s="0" t="s">
        <v>91</v>
      </c>
      <c r="D536" s="0" t="s">
        <v>75</v>
      </c>
      <c r="E536" s="0" t="n">
        <v>249797</v>
      </c>
      <c r="F536" s="0" t="n">
        <v>15550</v>
      </c>
      <c r="G536" s="0" t="n">
        <v>16070</v>
      </c>
      <c r="H536" s="0" t="n">
        <v>13969</v>
      </c>
    </row>
    <row r="537" customFormat="false" ht="15" hidden="false" customHeight="false" outlineLevel="0" collapsed="false">
      <c r="A537" s="0" t="n">
        <v>2021</v>
      </c>
      <c r="B537" s="0" t="s">
        <v>93</v>
      </c>
      <c r="C537" s="0" t="s">
        <v>94</v>
      </c>
      <c r="D537" s="0" t="s">
        <v>72</v>
      </c>
      <c r="E537" s="0" t="n">
        <v>305719</v>
      </c>
      <c r="F537" s="0" t="n">
        <v>22754</v>
      </c>
      <c r="G537" s="0" t="n">
        <v>22159</v>
      </c>
      <c r="H537" s="0" t="n">
        <v>19146</v>
      </c>
    </row>
    <row r="538" customFormat="false" ht="15" hidden="false" customHeight="false" outlineLevel="0" collapsed="false">
      <c r="A538" s="0" t="n">
        <v>2021</v>
      </c>
      <c r="B538" s="0" t="s">
        <v>96</v>
      </c>
      <c r="C538" s="0" t="s">
        <v>97</v>
      </c>
      <c r="D538" s="0" t="s">
        <v>73</v>
      </c>
      <c r="E538" s="0" t="n">
        <v>347618</v>
      </c>
      <c r="F538" s="0" t="n">
        <v>22652</v>
      </c>
      <c r="G538" s="0" t="n">
        <v>20899</v>
      </c>
      <c r="H538" s="0" t="n">
        <v>19407</v>
      </c>
    </row>
    <row r="539" customFormat="false" ht="15" hidden="false" customHeight="false" outlineLevel="0" collapsed="false">
      <c r="A539" s="0" t="n">
        <v>2021</v>
      </c>
      <c r="B539" s="0" t="s">
        <v>99</v>
      </c>
      <c r="C539" s="0" t="s">
        <v>100</v>
      </c>
      <c r="D539" s="0" t="s">
        <v>72</v>
      </c>
      <c r="E539" s="0" t="n">
        <v>97340</v>
      </c>
      <c r="F539" s="0" t="n">
        <v>23188</v>
      </c>
      <c r="G539" s="0" t="n">
        <v>20518</v>
      </c>
      <c r="H539" s="0" t="n">
        <v>19685</v>
      </c>
    </row>
    <row r="540" customFormat="false" ht="15" hidden="false" customHeight="false" outlineLevel="0" collapsed="false">
      <c r="A540" s="0" t="n">
        <v>2021</v>
      </c>
      <c r="B540" s="0" t="s">
        <v>105</v>
      </c>
      <c r="C540" s="0" t="s">
        <v>106</v>
      </c>
      <c r="D540" s="0" t="s">
        <v>73</v>
      </c>
      <c r="E540" s="0" t="n">
        <v>155386</v>
      </c>
      <c r="F540" s="0" t="n">
        <v>20288</v>
      </c>
      <c r="G540" s="0" t="n">
        <v>19127</v>
      </c>
      <c r="H540" s="0" t="n">
        <v>17386</v>
      </c>
    </row>
    <row r="541" customFormat="false" ht="15" hidden="false" customHeight="false" outlineLevel="0" collapsed="false">
      <c r="A541" s="0" t="n">
        <v>2021</v>
      </c>
      <c r="B541" s="0" t="s">
        <v>192</v>
      </c>
      <c r="C541" s="0" t="s">
        <v>193</v>
      </c>
      <c r="D541" s="0" t="s">
        <v>74</v>
      </c>
      <c r="E541" s="0" t="n">
        <v>207497</v>
      </c>
      <c r="F541" s="0" t="n">
        <v>19928</v>
      </c>
      <c r="G541" s="0" t="n">
        <v>19671</v>
      </c>
      <c r="H541" s="0" t="n">
        <v>18059</v>
      </c>
    </row>
    <row r="542" customFormat="false" ht="15" hidden="false" customHeight="false" outlineLevel="0" collapsed="false">
      <c r="A542" s="0" t="n">
        <v>2021</v>
      </c>
      <c r="B542" s="0" t="s">
        <v>102</v>
      </c>
      <c r="C542" s="0" t="s">
        <v>103</v>
      </c>
      <c r="D542" s="0" t="s">
        <v>73</v>
      </c>
      <c r="E542" s="0" t="n">
        <v>254142</v>
      </c>
      <c r="F542" s="0" t="n">
        <v>21986</v>
      </c>
      <c r="G542" s="0" t="n">
        <v>20608</v>
      </c>
      <c r="H542" s="0" t="n">
        <v>18343</v>
      </c>
    </row>
    <row r="543" customFormat="false" ht="15" hidden="false" customHeight="false" outlineLevel="0" collapsed="false">
      <c r="A543" s="0" t="n">
        <v>2021</v>
      </c>
      <c r="B543" s="0" t="s">
        <v>107</v>
      </c>
      <c r="C543" s="0" t="s">
        <v>108</v>
      </c>
      <c r="D543" s="0" t="s">
        <v>72</v>
      </c>
      <c r="E543" s="0" t="n">
        <v>155686</v>
      </c>
      <c r="F543" s="0" t="n">
        <v>21999</v>
      </c>
      <c r="G543" s="0" t="n">
        <v>21033</v>
      </c>
      <c r="H543" s="0" t="n">
        <v>18502</v>
      </c>
    </row>
    <row r="544" customFormat="false" ht="15" hidden="false" customHeight="false" outlineLevel="0" collapsed="false">
      <c r="A544" s="0" t="n">
        <v>2021</v>
      </c>
      <c r="B544" s="0" t="s">
        <v>109</v>
      </c>
      <c r="C544" s="0" t="s">
        <v>110</v>
      </c>
      <c r="D544" s="0" t="s">
        <v>74</v>
      </c>
      <c r="E544" s="0" t="n">
        <v>263308</v>
      </c>
      <c r="F544" s="0" t="n">
        <v>17344</v>
      </c>
      <c r="G544" s="0" t="n">
        <v>17844</v>
      </c>
      <c r="H544" s="0" t="n">
        <v>15159</v>
      </c>
    </row>
    <row r="545" customFormat="false" ht="15" hidden="false" customHeight="false" outlineLevel="0" collapsed="false">
      <c r="A545" s="0" t="n">
        <v>2021</v>
      </c>
      <c r="B545" s="0" t="s">
        <v>112</v>
      </c>
      <c r="C545" s="0" t="s">
        <v>113</v>
      </c>
      <c r="D545" s="0" t="s">
        <v>74</v>
      </c>
      <c r="E545" s="0" t="n">
        <v>820505</v>
      </c>
      <c r="F545" s="0" t="n">
        <v>19178</v>
      </c>
      <c r="G545" s="0" t="n">
        <v>18404</v>
      </c>
      <c r="H545" s="0" t="n">
        <v>17715</v>
      </c>
    </row>
    <row r="546" customFormat="false" ht="15" hidden="false" customHeight="false" outlineLevel="0" collapsed="false">
      <c r="A546" s="0" t="n">
        <v>2021</v>
      </c>
      <c r="B546" s="0" t="s">
        <v>122</v>
      </c>
      <c r="C546" s="0" t="s">
        <v>123</v>
      </c>
      <c r="D546" s="0" t="s">
        <v>72</v>
      </c>
      <c r="E546" s="0" t="n">
        <v>808550</v>
      </c>
      <c r="F546" s="0" t="n">
        <v>24571</v>
      </c>
      <c r="G546" s="0" t="n">
        <v>23963</v>
      </c>
      <c r="H546" s="0" t="n">
        <v>19383</v>
      </c>
    </row>
    <row r="547" customFormat="false" ht="15" hidden="false" customHeight="false" outlineLevel="0" collapsed="false">
      <c r="A547" s="0" t="n">
        <v>2021</v>
      </c>
      <c r="B547" s="0" t="s">
        <v>125</v>
      </c>
      <c r="C547" s="0" t="s">
        <v>126</v>
      </c>
      <c r="D547" s="0" t="s">
        <v>72</v>
      </c>
      <c r="E547" s="0" t="n">
        <v>133178</v>
      </c>
      <c r="F547" s="0" t="n">
        <v>22638</v>
      </c>
      <c r="G547" s="0" t="n">
        <v>22230</v>
      </c>
      <c r="H547" s="0" t="n">
        <v>19019</v>
      </c>
    </row>
    <row r="548" customFormat="false" ht="15" hidden="false" customHeight="false" outlineLevel="0" collapsed="false">
      <c r="A548" s="0" t="n">
        <v>2021</v>
      </c>
      <c r="B548" s="0" t="s">
        <v>117</v>
      </c>
      <c r="C548" s="0" t="s">
        <v>118</v>
      </c>
      <c r="D548" s="0" t="s">
        <v>72</v>
      </c>
      <c r="E548" s="0" t="n">
        <v>162285</v>
      </c>
      <c r="F548" s="0" t="n">
        <v>22654</v>
      </c>
      <c r="G548" s="0" t="n">
        <v>21667</v>
      </c>
      <c r="H548" s="0" t="n">
        <v>18055</v>
      </c>
    </row>
    <row r="549" customFormat="false" ht="15" hidden="false" customHeight="false" outlineLevel="0" collapsed="false">
      <c r="A549" s="0" t="n">
        <v>2021</v>
      </c>
      <c r="B549" s="0" t="s">
        <v>120</v>
      </c>
      <c r="C549" s="0" t="s">
        <v>121</v>
      </c>
      <c r="D549" s="0" t="s">
        <v>74</v>
      </c>
      <c r="E549" s="0" t="n">
        <v>175418</v>
      </c>
      <c r="F549" s="0" t="n">
        <v>16989</v>
      </c>
      <c r="G549" s="0" t="n">
        <v>17686</v>
      </c>
      <c r="H549" s="0" t="n">
        <v>14993</v>
      </c>
    </row>
    <row r="550" customFormat="false" ht="15" hidden="false" customHeight="false" outlineLevel="0" collapsed="false">
      <c r="A550" s="0" t="n">
        <v>2021</v>
      </c>
      <c r="B550" s="0" t="s">
        <v>127</v>
      </c>
      <c r="C550" s="0" t="s">
        <v>128</v>
      </c>
      <c r="D550" s="0" t="s">
        <v>72</v>
      </c>
      <c r="E550" s="0" t="n">
        <v>785582</v>
      </c>
      <c r="F550" s="0" t="n">
        <v>27090</v>
      </c>
      <c r="G550" s="0" t="n">
        <v>24835</v>
      </c>
      <c r="H550" s="0" t="n">
        <v>21936</v>
      </c>
    </row>
    <row r="551" customFormat="false" ht="15" hidden="false" customHeight="false" outlineLevel="0" collapsed="false">
      <c r="A551" s="0" t="n">
        <v>2021</v>
      </c>
      <c r="B551" s="0" t="s">
        <v>135</v>
      </c>
      <c r="C551" s="0" t="s">
        <v>136</v>
      </c>
      <c r="D551" s="0" t="s">
        <v>74</v>
      </c>
      <c r="E551" s="0" t="n">
        <v>258406</v>
      </c>
      <c r="F551" s="0" t="n">
        <v>16997</v>
      </c>
      <c r="G551" s="0" t="n">
        <v>16319</v>
      </c>
      <c r="H551" s="0" t="n">
        <v>16132</v>
      </c>
    </row>
    <row r="552" customFormat="false" ht="15" hidden="false" customHeight="false" outlineLevel="0" collapsed="false">
      <c r="A552" s="0" t="n">
        <v>2021</v>
      </c>
      <c r="B552" s="0" t="s">
        <v>133</v>
      </c>
      <c r="C552" s="0" t="s">
        <v>134</v>
      </c>
      <c r="D552" s="0" t="s">
        <v>72</v>
      </c>
      <c r="E552" s="0" t="n">
        <v>913863</v>
      </c>
      <c r="F552" s="0" t="n">
        <v>23852</v>
      </c>
      <c r="G552" s="0" t="n">
        <v>22923</v>
      </c>
      <c r="H552" s="0" t="n">
        <v>18494</v>
      </c>
    </row>
    <row r="553" customFormat="false" ht="15" hidden="false" customHeight="false" outlineLevel="0" collapsed="false">
      <c r="A553" s="0" t="n">
        <v>2021</v>
      </c>
      <c r="B553" s="0" t="s">
        <v>115</v>
      </c>
      <c r="C553" s="0" t="s">
        <v>116</v>
      </c>
      <c r="D553" s="0" t="s">
        <v>74</v>
      </c>
      <c r="E553" s="0" t="n">
        <v>236867</v>
      </c>
      <c r="F553" s="0" t="n">
        <v>16122</v>
      </c>
      <c r="G553" s="0" t="n">
        <v>15667</v>
      </c>
      <c r="H553" s="0" t="n">
        <v>15236</v>
      </c>
    </row>
    <row r="554" customFormat="false" ht="15" hidden="false" customHeight="false" outlineLevel="0" collapsed="false">
      <c r="A554" s="0" t="n">
        <v>2021</v>
      </c>
      <c r="B554" s="0" t="s">
        <v>130</v>
      </c>
      <c r="C554" s="0" t="s">
        <v>131</v>
      </c>
      <c r="D554" s="0" t="s">
        <v>72</v>
      </c>
      <c r="E554" s="0" t="n">
        <v>432505</v>
      </c>
      <c r="F554" s="0" t="n">
        <v>25674</v>
      </c>
      <c r="G554" s="0" t="n">
        <v>22813</v>
      </c>
      <c r="H554" s="0" t="n">
        <v>19734</v>
      </c>
    </row>
    <row r="555" customFormat="false" ht="15" hidden="false" customHeight="false" outlineLevel="0" collapsed="false">
      <c r="A555" s="0" t="n">
        <v>2021</v>
      </c>
      <c r="B555" s="0" t="s">
        <v>137</v>
      </c>
      <c r="C555" s="0" t="s">
        <v>138</v>
      </c>
      <c r="D555" s="0" t="s">
        <v>75</v>
      </c>
      <c r="E555" s="0" t="n">
        <v>280576</v>
      </c>
      <c r="F555" s="0" t="n">
        <v>22673</v>
      </c>
      <c r="G555" s="0" t="n">
        <v>20862</v>
      </c>
      <c r="H555" s="0" t="n">
        <v>21421</v>
      </c>
    </row>
    <row r="556" customFormat="false" ht="15" hidden="false" customHeight="false" outlineLevel="0" collapsed="false">
      <c r="A556" s="0" t="n">
        <v>2021</v>
      </c>
      <c r="B556" s="0" t="s">
        <v>142</v>
      </c>
      <c r="C556" s="0" t="s">
        <v>143</v>
      </c>
      <c r="D556" s="0" t="s">
        <v>74</v>
      </c>
      <c r="E556" s="0" t="n">
        <v>150097</v>
      </c>
      <c r="F556" s="0" t="n">
        <v>17424</v>
      </c>
      <c r="G556" s="0" t="n">
        <v>18235</v>
      </c>
      <c r="H556" s="0" t="n">
        <v>15264</v>
      </c>
    </row>
    <row r="557" customFormat="false" ht="15" hidden="false" customHeight="false" outlineLevel="0" collapsed="false">
      <c r="A557" s="0" t="n">
        <v>2021</v>
      </c>
      <c r="B557" s="0" t="s">
        <v>145</v>
      </c>
      <c r="C557" s="0" t="s">
        <v>146</v>
      </c>
      <c r="D557" s="0" t="s">
        <v>74</v>
      </c>
      <c r="E557" s="0" t="n">
        <v>514706</v>
      </c>
      <c r="F557" s="0" t="n">
        <v>17814</v>
      </c>
      <c r="G557" s="0" t="n">
        <v>17195</v>
      </c>
      <c r="H557" s="0" t="n">
        <v>16661</v>
      </c>
    </row>
    <row r="558" customFormat="false" ht="15" hidden="false" customHeight="false" outlineLevel="0" collapsed="false">
      <c r="A558" s="0" t="n">
        <v>2021</v>
      </c>
      <c r="B558" s="0" t="s">
        <v>152</v>
      </c>
      <c r="C558" s="0" t="s">
        <v>153</v>
      </c>
      <c r="D558" s="0" t="s">
        <v>74</v>
      </c>
      <c r="E558" s="0" t="n">
        <v>268488</v>
      </c>
      <c r="F558" s="0" t="n">
        <v>18767</v>
      </c>
      <c r="G558" s="0" t="n">
        <v>19313</v>
      </c>
      <c r="H558" s="0" t="n">
        <v>16025</v>
      </c>
    </row>
    <row r="559" customFormat="false" ht="15" hidden="false" customHeight="false" outlineLevel="0" collapsed="false">
      <c r="A559" s="0" t="n">
        <v>2021</v>
      </c>
      <c r="B559" s="0" t="s">
        <v>140</v>
      </c>
      <c r="C559" s="0" t="s">
        <v>141</v>
      </c>
      <c r="D559" s="0" t="s">
        <v>75</v>
      </c>
      <c r="E559" s="0" t="n">
        <v>150227</v>
      </c>
      <c r="F559" s="0" t="n">
        <v>16484</v>
      </c>
      <c r="G559" s="0" t="n">
        <v>17473</v>
      </c>
      <c r="H559" s="0" t="n">
        <v>15033</v>
      </c>
    </row>
    <row r="560" customFormat="false" ht="15" hidden="false" customHeight="false" outlineLevel="0" collapsed="false">
      <c r="A560" s="0" t="n">
        <v>2021</v>
      </c>
      <c r="B560" s="0" t="s">
        <v>163</v>
      </c>
      <c r="C560" s="0" t="s">
        <v>164</v>
      </c>
      <c r="D560" s="0" t="s">
        <v>72</v>
      </c>
      <c r="E560" s="0" t="n">
        <v>442637</v>
      </c>
      <c r="F560" s="0" t="n">
        <v>22856</v>
      </c>
      <c r="G560" s="0" t="n">
        <v>21592</v>
      </c>
      <c r="H560" s="0" t="n">
        <v>18327</v>
      </c>
    </row>
    <row r="561" customFormat="false" ht="15" hidden="false" customHeight="false" outlineLevel="0" collapsed="false">
      <c r="A561" s="0" t="n">
        <v>2021</v>
      </c>
      <c r="B561" s="0" t="s">
        <v>155</v>
      </c>
      <c r="C561" s="0" t="s">
        <v>156</v>
      </c>
      <c r="D561" s="0" t="s">
        <v>72</v>
      </c>
      <c r="E561" s="0" t="n">
        <v>429369</v>
      </c>
      <c r="F561" s="0" t="n">
        <v>24366</v>
      </c>
      <c r="G561" s="0" t="n">
        <v>24017</v>
      </c>
      <c r="H561" s="0" t="n">
        <v>19149</v>
      </c>
    </row>
    <row r="562" customFormat="false" ht="15" hidden="false" customHeight="false" outlineLevel="0" collapsed="false">
      <c r="A562" s="0" t="n">
        <v>2021</v>
      </c>
      <c r="B562" s="0" t="s">
        <v>159</v>
      </c>
      <c r="C562" s="0" t="s">
        <v>160</v>
      </c>
      <c r="D562" s="0" t="s">
        <v>72</v>
      </c>
      <c r="E562" s="0" t="n">
        <v>263011</v>
      </c>
      <c r="F562" s="0" t="n">
        <v>24107</v>
      </c>
      <c r="G562" s="0" t="n">
        <v>23334</v>
      </c>
      <c r="H562" s="0" t="n">
        <v>19400</v>
      </c>
    </row>
    <row r="563" customFormat="false" ht="15" hidden="false" customHeight="false" outlineLevel="0" collapsed="false">
      <c r="A563" s="0" t="n">
        <v>2021</v>
      </c>
      <c r="B563" s="0" t="s">
        <v>157</v>
      </c>
      <c r="C563" s="0" t="s">
        <v>158</v>
      </c>
      <c r="D563" s="0" t="s">
        <v>74</v>
      </c>
      <c r="E563" s="0" t="n">
        <v>430523</v>
      </c>
      <c r="F563" s="0" t="n">
        <v>15789</v>
      </c>
      <c r="G563" s="0" t="n">
        <v>15167</v>
      </c>
      <c r="H563" s="0" t="n">
        <v>15225</v>
      </c>
    </row>
    <row r="564" customFormat="false" ht="15" hidden="false" customHeight="false" outlineLevel="0" collapsed="false">
      <c r="A564" s="0" t="n">
        <v>2021</v>
      </c>
      <c r="B564" s="0" t="s">
        <v>147</v>
      </c>
      <c r="C564" s="0" t="s">
        <v>148</v>
      </c>
      <c r="D564" s="0" t="s">
        <v>75</v>
      </c>
      <c r="E564" s="0" t="n">
        <v>607007</v>
      </c>
      <c r="F564" s="0" t="n">
        <v>18295</v>
      </c>
      <c r="G564" s="0" t="n">
        <v>17735</v>
      </c>
      <c r="H564" s="0" t="n">
        <v>16924</v>
      </c>
    </row>
    <row r="565" customFormat="false" ht="15" hidden="false" customHeight="false" outlineLevel="0" collapsed="false">
      <c r="A565" s="0" t="n">
        <v>2021</v>
      </c>
      <c r="B565" s="0" t="s">
        <v>149</v>
      </c>
      <c r="C565" s="0" t="s">
        <v>150</v>
      </c>
      <c r="D565" s="0" t="s">
        <v>74</v>
      </c>
      <c r="E565" s="0" t="n">
        <v>216315</v>
      </c>
      <c r="F565" s="0" t="n">
        <v>17218</v>
      </c>
      <c r="G565" s="0" t="n">
        <v>16816</v>
      </c>
      <c r="H565" s="0" t="n">
        <v>15979</v>
      </c>
    </row>
    <row r="566" customFormat="false" ht="15" hidden="false" customHeight="false" outlineLevel="0" collapsed="false">
      <c r="A566" s="0" t="n">
        <v>2021</v>
      </c>
      <c r="B566" s="0" t="s">
        <v>165</v>
      </c>
      <c r="C566" s="0" t="s">
        <v>166</v>
      </c>
      <c r="D566" s="0" t="s">
        <v>75</v>
      </c>
      <c r="E566" s="0" t="n">
        <v>98668</v>
      </c>
      <c r="F566" s="0" t="n">
        <v>15894</v>
      </c>
      <c r="G566" s="0" t="n">
        <v>16985</v>
      </c>
      <c r="H566" s="0" t="n">
        <v>14147</v>
      </c>
    </row>
    <row r="567" customFormat="false" ht="15" hidden="false" customHeight="false" outlineLevel="0" collapsed="false">
      <c r="A567" s="0" t="n">
        <v>2021</v>
      </c>
      <c r="B567" s="0" t="s">
        <v>175</v>
      </c>
      <c r="C567" s="0" t="s">
        <v>176</v>
      </c>
      <c r="D567" s="0" t="s">
        <v>72</v>
      </c>
      <c r="E567" s="0" t="n">
        <v>306850</v>
      </c>
      <c r="F567" s="0" t="n">
        <v>22520</v>
      </c>
      <c r="G567" s="0" t="n">
        <v>20844</v>
      </c>
      <c r="H567" s="0" t="n">
        <v>18136</v>
      </c>
    </row>
    <row r="568" customFormat="false" ht="15" hidden="false" customHeight="false" outlineLevel="0" collapsed="false">
      <c r="A568" s="0" t="n">
        <v>2021</v>
      </c>
      <c r="B568" s="0" t="s">
        <v>169</v>
      </c>
      <c r="C568" s="0" t="s">
        <v>170</v>
      </c>
      <c r="D568" s="0" t="s">
        <v>72</v>
      </c>
      <c r="E568" s="0" t="n">
        <v>269770</v>
      </c>
      <c r="F568" s="0" t="n">
        <v>22342</v>
      </c>
      <c r="G568" s="0" t="n">
        <v>21256</v>
      </c>
      <c r="H568" s="0" t="n">
        <v>18767</v>
      </c>
    </row>
    <row r="569" customFormat="false" ht="15" hidden="false" customHeight="false" outlineLevel="0" collapsed="false">
      <c r="A569" s="0" t="n">
        <v>2021</v>
      </c>
      <c r="B569" s="0" t="s">
        <v>173</v>
      </c>
      <c r="C569" s="0" t="s">
        <v>174</v>
      </c>
      <c r="D569" s="0" t="s">
        <v>74</v>
      </c>
      <c r="E569" s="0" t="n">
        <v>386041</v>
      </c>
      <c r="F569" s="0" t="n">
        <v>16262</v>
      </c>
      <c r="G569" s="0" t="n">
        <v>15759</v>
      </c>
      <c r="H569" s="0" t="n">
        <v>15516</v>
      </c>
    </row>
    <row r="570" customFormat="false" ht="15" hidden="false" customHeight="false" outlineLevel="0" collapsed="false">
      <c r="A570" s="0" t="n">
        <v>2021</v>
      </c>
      <c r="B570" s="0" t="s">
        <v>171</v>
      </c>
      <c r="C570" s="0" t="s">
        <v>172</v>
      </c>
      <c r="D570" s="0" t="s">
        <v>73</v>
      </c>
      <c r="E570" s="0" t="n">
        <v>744947</v>
      </c>
      <c r="F570" s="0" t="n">
        <v>24853</v>
      </c>
      <c r="G570" s="0" t="n">
        <v>22367</v>
      </c>
      <c r="H570" s="0" t="n">
        <v>20562</v>
      </c>
    </row>
    <row r="571" customFormat="false" ht="15" hidden="false" customHeight="false" outlineLevel="0" collapsed="false">
      <c r="A571" s="0" t="n">
        <v>2021</v>
      </c>
      <c r="B571" s="0" t="s">
        <v>167</v>
      </c>
      <c r="C571" s="0" t="s">
        <v>168</v>
      </c>
      <c r="D571" s="0" t="s">
        <v>73</v>
      </c>
      <c r="E571" s="0" t="n">
        <v>125409</v>
      </c>
      <c r="F571" s="0" t="n">
        <v>19358</v>
      </c>
      <c r="G571" s="0" t="n">
        <v>17976</v>
      </c>
      <c r="H571" s="0" t="n">
        <v>15613</v>
      </c>
    </row>
    <row r="572" customFormat="false" ht="15" hidden="false" customHeight="false" outlineLevel="0" collapsed="false">
      <c r="A572" s="0" t="n">
        <v>2021</v>
      </c>
      <c r="B572" s="0" t="s">
        <v>177</v>
      </c>
      <c r="C572" s="0" t="s">
        <v>178</v>
      </c>
      <c r="D572" s="0" t="s">
        <v>73</v>
      </c>
      <c r="E572" s="0" t="n">
        <v>311793</v>
      </c>
      <c r="F572" s="0" t="n">
        <v>18825</v>
      </c>
      <c r="G572" s="0" t="n">
        <v>19195</v>
      </c>
      <c r="H572" s="0" t="n">
        <v>16708</v>
      </c>
    </row>
    <row r="573" customFormat="false" ht="15" hidden="false" customHeight="false" outlineLevel="0" collapsed="false">
      <c r="A573" s="0" t="n">
        <v>2021</v>
      </c>
      <c r="B573" s="0" t="s">
        <v>180</v>
      </c>
      <c r="C573" s="0" t="s">
        <v>181</v>
      </c>
      <c r="D573" s="0" t="s">
        <v>72</v>
      </c>
      <c r="E573" s="0" t="n">
        <v>643079</v>
      </c>
      <c r="F573" s="0" t="n">
        <v>24774</v>
      </c>
      <c r="G573" s="0" t="n">
        <v>22444</v>
      </c>
      <c r="H573" s="0" t="n">
        <v>21526</v>
      </c>
    </row>
    <row r="574" customFormat="false" ht="15" hidden="false" customHeight="false" outlineLevel="0" collapsed="false">
      <c r="A574" s="0" t="n">
        <v>2021</v>
      </c>
      <c r="B574" s="0" t="s">
        <v>183</v>
      </c>
      <c r="C574" s="0" t="s">
        <v>184</v>
      </c>
      <c r="D574" s="0" t="s">
        <v>72</v>
      </c>
      <c r="E574" s="0" t="n">
        <v>108823</v>
      </c>
      <c r="F574" s="0" t="n">
        <v>22044</v>
      </c>
      <c r="G574" s="0" t="n">
        <v>20846</v>
      </c>
      <c r="H574" s="0" t="n">
        <v>19872</v>
      </c>
    </row>
    <row r="575" customFormat="false" ht="15" hidden="false" customHeight="false" outlineLevel="0" collapsed="false">
      <c r="A575" s="0" t="n">
        <v>2021</v>
      </c>
      <c r="B575" s="0" t="s">
        <v>186</v>
      </c>
      <c r="C575" s="0" t="s">
        <v>187</v>
      </c>
      <c r="D575" s="0" t="s">
        <v>73</v>
      </c>
      <c r="E575" s="0" t="n">
        <v>165620</v>
      </c>
      <c r="F575" s="0" t="n">
        <v>20765</v>
      </c>
      <c r="G575" s="0" t="n">
        <v>18806</v>
      </c>
      <c r="H575" s="0" t="n">
        <v>18660</v>
      </c>
    </row>
    <row r="576" customFormat="false" ht="15" hidden="false" customHeight="false" outlineLevel="0" collapsed="false">
      <c r="A576" s="0" t="n">
        <v>2021</v>
      </c>
      <c r="B576" s="0" t="s">
        <v>188</v>
      </c>
      <c r="C576" s="0" t="s">
        <v>189</v>
      </c>
      <c r="D576" s="0" t="s">
        <v>72</v>
      </c>
      <c r="E576" s="0" t="n">
        <v>151840</v>
      </c>
      <c r="F576" s="0" t="n">
        <v>20089</v>
      </c>
      <c r="G576" s="0" t="n">
        <v>17819</v>
      </c>
      <c r="H576" s="0" t="n">
        <v>17268</v>
      </c>
    </row>
    <row r="577" customFormat="false" ht="15" hidden="false" customHeight="false" outlineLevel="0" collapsed="false">
      <c r="A577" s="0" t="n">
        <v>2021</v>
      </c>
      <c r="B577" s="0" t="s">
        <v>190</v>
      </c>
      <c r="C577" s="0" t="s">
        <v>191</v>
      </c>
      <c r="D577" s="0" t="s">
        <v>74</v>
      </c>
      <c r="E577" s="0" t="n">
        <v>58714</v>
      </c>
      <c r="F577" s="0" t="n">
        <v>17305</v>
      </c>
      <c r="G577" s="0" t="n">
        <v>18177</v>
      </c>
      <c r="H577" s="0" t="n">
        <v>15270</v>
      </c>
    </row>
    <row r="578" customFormat="false" ht="15" hidden="false" customHeight="false" outlineLevel="0" collapsed="false">
      <c r="A578" s="0" t="n">
        <v>2021</v>
      </c>
      <c r="B578" s="0" t="s">
        <v>161</v>
      </c>
      <c r="C578" s="0" t="s">
        <v>162</v>
      </c>
      <c r="D578" s="0" t="s">
        <v>74</v>
      </c>
      <c r="E578" s="0" t="n">
        <v>93465</v>
      </c>
      <c r="F578" s="0" t="n">
        <v>15308</v>
      </c>
      <c r="G578" s="0" t="n">
        <v>14805</v>
      </c>
      <c r="H578" s="0" t="n">
        <v>14357</v>
      </c>
    </row>
    <row r="579" customFormat="false" ht="15" hidden="false" customHeight="false" outlineLevel="0" collapsed="false">
      <c r="A579" s="0" t="n">
        <v>2021</v>
      </c>
      <c r="B579" s="0" t="s">
        <v>200</v>
      </c>
      <c r="C579" s="0" t="s">
        <v>201</v>
      </c>
      <c r="D579" s="0" t="s">
        <v>72</v>
      </c>
      <c r="E579" s="0" t="n">
        <v>250520</v>
      </c>
      <c r="F579" s="0" t="n">
        <v>26418</v>
      </c>
      <c r="G579" s="0" t="n">
        <v>25583</v>
      </c>
      <c r="H579" s="0" t="n">
        <v>20504</v>
      </c>
    </row>
    <row r="580" customFormat="false" ht="15" hidden="false" customHeight="false" outlineLevel="0" collapsed="false">
      <c r="A580" s="0" t="n">
        <v>2021</v>
      </c>
      <c r="B580" s="0" t="s">
        <v>198</v>
      </c>
      <c r="C580" s="0" t="s">
        <v>199</v>
      </c>
      <c r="D580" s="0" t="s">
        <v>74</v>
      </c>
      <c r="E580" s="0" t="n">
        <v>523361</v>
      </c>
      <c r="F580" s="0" t="n">
        <v>17006</v>
      </c>
      <c r="G580" s="0" t="n">
        <v>16466</v>
      </c>
      <c r="H580" s="0" t="n">
        <v>15462</v>
      </c>
    </row>
    <row r="581" customFormat="false" ht="15" hidden="false" customHeight="false" outlineLevel="0" collapsed="false">
      <c r="A581" s="0" t="n">
        <v>2021</v>
      </c>
      <c r="B581" s="0" t="s">
        <v>202</v>
      </c>
      <c r="C581" s="0" t="s">
        <v>203</v>
      </c>
      <c r="D581" s="0" t="s">
        <v>73</v>
      </c>
      <c r="E581" s="0" t="n">
        <v>244190</v>
      </c>
      <c r="F581" s="0" t="n">
        <v>22722</v>
      </c>
      <c r="G581" s="0" t="n">
        <v>20539</v>
      </c>
      <c r="H581" s="0" t="n">
        <v>20541</v>
      </c>
    </row>
    <row r="582" customFormat="false" ht="15" hidden="false" customHeight="false" outlineLevel="0" collapsed="false">
      <c r="A582" s="0" t="n">
        <v>2021</v>
      </c>
      <c r="B582" s="0" t="s">
        <v>204</v>
      </c>
      <c r="C582" s="0" t="s">
        <v>205</v>
      </c>
      <c r="D582" s="0" t="s">
        <v>72</v>
      </c>
      <c r="E582" s="0" t="n">
        <v>166109</v>
      </c>
      <c r="F582" s="0" t="n">
        <v>24519</v>
      </c>
      <c r="G582" s="0" t="n">
        <v>23954</v>
      </c>
      <c r="H582" s="0" t="n">
        <v>20315</v>
      </c>
    </row>
    <row r="583" customFormat="false" ht="15" hidden="false" customHeight="false" outlineLevel="0" collapsed="false">
      <c r="A583" s="0" t="n">
        <v>2021</v>
      </c>
      <c r="B583" s="0" t="s">
        <v>196</v>
      </c>
      <c r="C583" s="0" t="s">
        <v>197</v>
      </c>
      <c r="D583" s="0" t="s">
        <v>73</v>
      </c>
      <c r="E583" s="0" t="n">
        <v>385288</v>
      </c>
      <c r="F583" s="0" t="n">
        <v>19073</v>
      </c>
      <c r="G583" s="0" t="n">
        <v>18523</v>
      </c>
      <c r="H583" s="0" t="n">
        <v>17539</v>
      </c>
    </row>
    <row r="584" customFormat="false" ht="15" hidden="false" customHeight="false" outlineLevel="0" collapsed="false">
      <c r="A584" s="0" t="n">
        <v>2021</v>
      </c>
      <c r="B584" s="0" t="s">
        <v>206</v>
      </c>
      <c r="C584" s="0" t="s">
        <v>207</v>
      </c>
      <c r="D584" s="0" t="s">
        <v>73</v>
      </c>
      <c r="E584" s="0" t="n">
        <v>282104</v>
      </c>
      <c r="F584" s="0" t="n">
        <v>22777</v>
      </c>
      <c r="G584" s="0" t="n">
        <v>21340</v>
      </c>
      <c r="H584" s="0" t="n">
        <v>18446</v>
      </c>
    </row>
    <row r="585" customFormat="false" ht="15" hidden="false" customHeight="false" outlineLevel="0" collapsed="false">
      <c r="A585" s="0" t="n">
        <v>2021</v>
      </c>
      <c r="B585" s="0" t="s">
        <v>222</v>
      </c>
      <c r="C585" s="0" t="s">
        <v>223</v>
      </c>
      <c r="D585" s="0" t="s">
        <v>72</v>
      </c>
      <c r="E585" s="0" t="n">
        <v>642674</v>
      </c>
      <c r="F585" s="0" t="n">
        <v>26912</v>
      </c>
      <c r="G585" s="0" t="n">
        <v>26665</v>
      </c>
      <c r="H585" s="0" t="n">
        <v>21049</v>
      </c>
    </row>
    <row r="586" customFormat="false" ht="15" hidden="false" customHeight="false" outlineLevel="0" collapsed="false">
      <c r="A586" s="0" t="n">
        <v>2021</v>
      </c>
      <c r="B586" s="0" t="s">
        <v>208</v>
      </c>
      <c r="C586" s="0" t="s">
        <v>209</v>
      </c>
      <c r="D586" s="0" t="s">
        <v>73</v>
      </c>
      <c r="E586" s="0" t="n">
        <v>230242</v>
      </c>
      <c r="F586" s="0" t="n">
        <v>20877</v>
      </c>
      <c r="G586" s="0" t="n">
        <v>19257</v>
      </c>
      <c r="H586" s="0" t="n">
        <v>17249</v>
      </c>
    </row>
    <row r="587" customFormat="false" ht="15" hidden="false" customHeight="false" outlineLevel="0" collapsed="false">
      <c r="A587" s="0" t="n">
        <v>2021</v>
      </c>
      <c r="B587" s="0" t="s">
        <v>217</v>
      </c>
      <c r="C587" s="0" t="s">
        <v>218</v>
      </c>
      <c r="D587" s="0" t="s">
        <v>75</v>
      </c>
      <c r="E587" s="0" t="n">
        <v>386952</v>
      </c>
      <c r="F587" s="0" t="n">
        <v>18110</v>
      </c>
      <c r="G587" s="0" t="n">
        <v>17242</v>
      </c>
      <c r="H587" s="0" t="n">
        <v>17173</v>
      </c>
    </row>
    <row r="588" customFormat="false" ht="15" hidden="false" customHeight="false" outlineLevel="0" collapsed="false">
      <c r="A588" s="0" t="n">
        <v>2021</v>
      </c>
      <c r="B588" s="0" t="s">
        <v>219</v>
      </c>
      <c r="C588" s="0" t="s">
        <v>50</v>
      </c>
      <c r="D588" s="0" t="s">
        <v>72</v>
      </c>
      <c r="E588" s="0" t="n">
        <v>2385069</v>
      </c>
      <c r="F588" s="0" t="n">
        <v>30808</v>
      </c>
      <c r="G588" s="0" t="n">
        <v>29600</v>
      </c>
      <c r="H588" s="0" t="n">
        <v>23215</v>
      </c>
    </row>
    <row r="589" customFormat="false" ht="15" hidden="false" customHeight="false" outlineLevel="0" collapsed="false">
      <c r="A589" s="0" t="n">
        <v>2021</v>
      </c>
      <c r="B589" s="0" t="s">
        <v>210</v>
      </c>
      <c r="C589" s="0" t="s">
        <v>211</v>
      </c>
      <c r="D589" s="0" t="s">
        <v>72</v>
      </c>
      <c r="E589" s="0" t="n">
        <v>301459</v>
      </c>
      <c r="F589" s="0" t="n">
        <v>23064</v>
      </c>
      <c r="G589" s="0" t="n">
        <v>22145</v>
      </c>
      <c r="H589" s="0" t="n">
        <v>18327</v>
      </c>
    </row>
    <row r="590" customFormat="false" ht="15" hidden="false" customHeight="false" outlineLevel="0" collapsed="false">
      <c r="A590" s="0" t="n">
        <v>2021</v>
      </c>
      <c r="B590" s="0" t="s">
        <v>220</v>
      </c>
      <c r="C590" s="0" t="s">
        <v>221</v>
      </c>
      <c r="D590" s="0" t="s">
        <v>72</v>
      </c>
      <c r="E590" s="0" t="n">
        <v>534114</v>
      </c>
      <c r="F590" s="0" t="n">
        <v>25540</v>
      </c>
      <c r="G590" s="0" t="n">
        <v>24232</v>
      </c>
      <c r="H590" s="0" t="n">
        <v>19987</v>
      </c>
    </row>
    <row r="591" customFormat="false" ht="15" hidden="false" customHeight="false" outlineLevel="0" collapsed="false">
      <c r="A591" s="0" t="n">
        <v>2021</v>
      </c>
      <c r="B591" s="0" t="s">
        <v>212</v>
      </c>
      <c r="C591" s="0" t="s">
        <v>213</v>
      </c>
      <c r="D591" s="0" t="s">
        <v>73</v>
      </c>
      <c r="E591" s="0" t="n">
        <v>137347</v>
      </c>
      <c r="F591" s="0" t="n">
        <v>21620</v>
      </c>
      <c r="G591" s="0" t="n">
        <v>20556</v>
      </c>
      <c r="H591" s="0" t="n">
        <v>18842</v>
      </c>
    </row>
    <row r="592" customFormat="false" ht="15" hidden="false" customHeight="false" outlineLevel="0" collapsed="false">
      <c r="A592" s="0" t="n">
        <v>2021</v>
      </c>
      <c r="B592" s="0" t="s">
        <v>214</v>
      </c>
      <c r="C592" s="0" t="s">
        <v>215</v>
      </c>
      <c r="D592" s="0" t="s">
        <v>74</v>
      </c>
      <c r="E592" s="0" t="n">
        <v>131786</v>
      </c>
      <c r="F592" s="0" t="n">
        <v>17374</v>
      </c>
      <c r="G592" s="0" t="n">
        <v>16916</v>
      </c>
      <c r="H592" s="0" t="n">
        <v>16225</v>
      </c>
    </row>
    <row r="593" customFormat="false" ht="15" hidden="false" customHeight="false" outlineLevel="0" collapsed="false">
      <c r="A593" s="0" t="n">
        <v>2021</v>
      </c>
      <c r="B593" s="0" t="s">
        <v>224</v>
      </c>
      <c r="C593" s="0" t="s">
        <v>51</v>
      </c>
      <c r="D593" s="0" t="s">
        <v>74</v>
      </c>
      <c r="E593" s="0" t="n">
        <v>1601717</v>
      </c>
      <c r="F593" s="0" t="n">
        <v>19377</v>
      </c>
      <c r="G593" s="0" t="n">
        <v>18039</v>
      </c>
      <c r="H593" s="0" t="n">
        <v>18139</v>
      </c>
    </row>
    <row r="594" customFormat="false" ht="15" hidden="false" customHeight="false" outlineLevel="0" collapsed="false">
      <c r="A594" s="0" t="n">
        <v>2021</v>
      </c>
      <c r="B594" s="0" t="s">
        <v>225</v>
      </c>
      <c r="C594" s="0" t="s">
        <v>226</v>
      </c>
      <c r="D594" s="0" t="s">
        <v>72</v>
      </c>
      <c r="E594" s="0" t="n">
        <v>268542</v>
      </c>
      <c r="F594" s="0" t="n">
        <v>24845</v>
      </c>
      <c r="G594" s="0" t="n">
        <v>23725</v>
      </c>
      <c r="H594" s="0" t="n">
        <v>20299</v>
      </c>
    </row>
    <row r="595" customFormat="false" ht="15" hidden="false" customHeight="false" outlineLevel="0" collapsed="false">
      <c r="A595" s="0" t="n">
        <v>2021</v>
      </c>
      <c r="B595" s="0" t="s">
        <v>227</v>
      </c>
      <c r="C595" s="0" t="s">
        <v>228</v>
      </c>
      <c r="D595" s="0" t="s">
        <v>75</v>
      </c>
      <c r="E595" s="0" t="n">
        <v>138576</v>
      </c>
      <c r="F595" s="0" t="n">
        <v>16874</v>
      </c>
      <c r="G595" s="0" t="n">
        <v>16592</v>
      </c>
      <c r="H595" s="0" t="n">
        <v>15839</v>
      </c>
    </row>
    <row r="596" customFormat="false" ht="15" hidden="false" customHeight="false" outlineLevel="0" collapsed="false">
      <c r="A596" s="0" t="n">
        <v>2021</v>
      </c>
      <c r="B596" s="0" t="s">
        <v>229</v>
      </c>
      <c r="C596" s="0" t="s">
        <v>230</v>
      </c>
      <c r="D596" s="0" t="s">
        <v>75</v>
      </c>
      <c r="E596" s="0" t="n">
        <v>103765</v>
      </c>
      <c r="F596" s="0" t="n">
        <v>17215</v>
      </c>
      <c r="G596" s="0" t="n">
        <v>17144</v>
      </c>
      <c r="H596" s="0" t="n">
        <v>15838</v>
      </c>
    </row>
    <row r="597" customFormat="false" ht="15" hidden="false" customHeight="false" outlineLevel="0" collapsed="false">
      <c r="A597" s="0" t="n">
        <v>2021</v>
      </c>
      <c r="B597" s="0" t="s">
        <v>233</v>
      </c>
      <c r="C597" s="0" t="s">
        <v>234</v>
      </c>
      <c r="D597" s="0" t="s">
        <v>75</v>
      </c>
      <c r="E597" s="0" t="n">
        <v>685258</v>
      </c>
      <c r="F597" s="0" t="n">
        <v>19024</v>
      </c>
      <c r="G597" s="0" t="n">
        <v>17942</v>
      </c>
      <c r="H597" s="0" t="n">
        <v>18310</v>
      </c>
    </row>
    <row r="598" customFormat="false" ht="15" hidden="false" customHeight="false" outlineLevel="0" collapsed="false">
      <c r="A598" s="0" t="n">
        <v>2021</v>
      </c>
      <c r="B598" s="0" t="s">
        <v>246</v>
      </c>
      <c r="C598" s="0" t="s">
        <v>247</v>
      </c>
      <c r="D598" s="0" t="s">
        <v>72</v>
      </c>
      <c r="E598" s="0" t="n">
        <v>218410</v>
      </c>
      <c r="F598" s="0" t="n">
        <v>24585</v>
      </c>
      <c r="G598" s="0" t="n">
        <v>23170</v>
      </c>
      <c r="H598" s="0" t="n">
        <v>19673</v>
      </c>
    </row>
    <row r="599" customFormat="false" ht="15" hidden="false" customHeight="false" outlineLevel="0" collapsed="false">
      <c r="A599" s="0" t="n">
        <v>2021</v>
      </c>
      <c r="B599" s="0" t="s">
        <v>231</v>
      </c>
      <c r="C599" s="0" t="s">
        <v>232</v>
      </c>
      <c r="D599" s="0" t="s">
        <v>72</v>
      </c>
      <c r="E599" s="0" t="n">
        <v>691909</v>
      </c>
      <c r="F599" s="0" t="n">
        <v>24619</v>
      </c>
      <c r="G599" s="0" t="n">
        <v>23132</v>
      </c>
      <c r="H599" s="0" t="n">
        <v>19268</v>
      </c>
    </row>
    <row r="600" customFormat="false" ht="15" hidden="false" customHeight="false" outlineLevel="0" collapsed="false">
      <c r="A600" s="0" t="n">
        <v>2021</v>
      </c>
      <c r="B600" s="0" t="s">
        <v>244</v>
      </c>
      <c r="C600" s="0" t="s">
        <v>245</v>
      </c>
      <c r="D600" s="0" t="s">
        <v>74</v>
      </c>
      <c r="E600" s="0" t="n">
        <v>219753</v>
      </c>
      <c r="F600" s="0" t="n">
        <v>20146</v>
      </c>
      <c r="G600" s="0" t="n">
        <v>19628</v>
      </c>
      <c r="H600" s="0" t="n">
        <v>17595</v>
      </c>
    </row>
    <row r="601" customFormat="false" ht="15" hidden="false" customHeight="false" outlineLevel="0" collapsed="false">
      <c r="A601" s="0" t="n">
        <v>2021</v>
      </c>
      <c r="B601" s="0" t="s">
        <v>239</v>
      </c>
      <c r="C601" s="0" t="s">
        <v>240</v>
      </c>
      <c r="D601" s="0" t="s">
        <v>73</v>
      </c>
      <c r="E601" s="0" t="n">
        <v>484142</v>
      </c>
      <c r="F601" s="0" t="n">
        <v>20800</v>
      </c>
      <c r="G601" s="0" t="n">
        <v>19270</v>
      </c>
      <c r="H601" s="0" t="n">
        <v>18221</v>
      </c>
    </row>
    <row r="602" customFormat="false" ht="15" hidden="false" customHeight="false" outlineLevel="0" collapsed="false">
      <c r="A602" s="0" t="n">
        <v>2021</v>
      </c>
      <c r="B602" s="0" t="s">
        <v>248</v>
      </c>
      <c r="C602" s="0" t="s">
        <v>249</v>
      </c>
      <c r="D602" s="0" t="s">
        <v>73</v>
      </c>
      <c r="E602" s="0" t="n">
        <v>304406</v>
      </c>
      <c r="F602" s="0" t="n">
        <v>23576</v>
      </c>
      <c r="G602" s="0" t="n">
        <v>22142</v>
      </c>
      <c r="H602" s="0" t="n">
        <v>19712</v>
      </c>
    </row>
    <row r="603" customFormat="false" ht="15" hidden="false" customHeight="false" outlineLevel="0" collapsed="false">
      <c r="A603" s="0" t="n">
        <v>2021</v>
      </c>
      <c r="B603" s="0" t="s">
        <v>252</v>
      </c>
      <c r="C603" s="0" t="s">
        <v>253</v>
      </c>
      <c r="D603" s="0" t="s">
        <v>72</v>
      </c>
      <c r="E603" s="0" t="n">
        <v>238128</v>
      </c>
      <c r="F603" s="0" t="n">
        <v>23567</v>
      </c>
      <c r="G603" s="0" t="n">
        <v>22437</v>
      </c>
      <c r="H603" s="0" t="n">
        <v>18803</v>
      </c>
    </row>
    <row r="604" customFormat="false" ht="15" hidden="false" customHeight="false" outlineLevel="0" collapsed="false">
      <c r="A604" s="0" t="n">
        <v>2021</v>
      </c>
      <c r="B604" s="0" t="s">
        <v>256</v>
      </c>
      <c r="C604" s="0" t="s">
        <v>257</v>
      </c>
      <c r="D604" s="0" t="s">
        <v>73</v>
      </c>
      <c r="E604" s="0" t="n">
        <v>195619</v>
      </c>
      <c r="F604" s="0" t="n">
        <v>22063</v>
      </c>
      <c r="G604" s="0" t="n">
        <v>19413</v>
      </c>
      <c r="H604" s="0" t="n">
        <v>18318</v>
      </c>
    </row>
    <row r="605" customFormat="false" ht="15" hidden="false" customHeight="false" outlineLevel="0" collapsed="false">
      <c r="A605" s="0" t="n">
        <v>2021</v>
      </c>
      <c r="B605" s="0" t="s">
        <v>235</v>
      </c>
      <c r="C605" s="0" t="s">
        <v>236</v>
      </c>
      <c r="D605" s="0" t="s">
        <v>72</v>
      </c>
      <c r="E605" s="0" t="n">
        <v>341276</v>
      </c>
      <c r="F605" s="0" t="n">
        <v>26440</v>
      </c>
      <c r="G605" s="0" t="n">
        <v>25006</v>
      </c>
      <c r="H605" s="0" t="n">
        <v>20758</v>
      </c>
    </row>
    <row r="606" customFormat="false" ht="15" hidden="false" customHeight="false" outlineLevel="0" collapsed="false">
      <c r="A606" s="0" t="n">
        <v>2021</v>
      </c>
      <c r="B606" s="0" t="s">
        <v>250</v>
      </c>
      <c r="C606" s="0" t="s">
        <v>251</v>
      </c>
      <c r="D606" s="0" t="s">
        <v>73</v>
      </c>
      <c r="E606" s="0" t="n">
        <v>211689</v>
      </c>
      <c r="F606" s="0" t="n">
        <v>21216</v>
      </c>
      <c r="G606" s="0" t="n">
        <v>20373</v>
      </c>
      <c r="H606" s="0" t="n">
        <v>17572</v>
      </c>
    </row>
    <row r="607" customFormat="false" ht="15" hidden="false" customHeight="false" outlineLevel="0" collapsed="false">
      <c r="A607" s="0" t="n">
        <v>2021</v>
      </c>
      <c r="B607" s="0" t="s">
        <v>242</v>
      </c>
      <c r="C607" s="0" t="s">
        <v>243</v>
      </c>
      <c r="D607" s="0" t="s">
        <v>73</v>
      </c>
      <c r="E607" s="0" t="n">
        <v>266719</v>
      </c>
      <c r="F607" s="0" t="n">
        <v>21590</v>
      </c>
      <c r="G607" s="0" t="n">
        <v>20364</v>
      </c>
      <c r="H607" s="0" t="n">
        <v>17437</v>
      </c>
    </row>
    <row r="608" customFormat="false" ht="15" hidden="false" customHeight="false" outlineLevel="0" collapsed="false">
      <c r="A608" s="0" t="n">
        <v>2021</v>
      </c>
      <c r="B608" s="0" t="s">
        <v>237</v>
      </c>
      <c r="C608" s="0" t="s">
        <v>238</v>
      </c>
      <c r="D608" s="0" t="s">
        <v>72</v>
      </c>
      <c r="E608" s="0" t="n">
        <v>398194</v>
      </c>
      <c r="F608" s="0" t="n">
        <v>23979</v>
      </c>
      <c r="G608" s="0" t="n">
        <v>23197</v>
      </c>
      <c r="H608" s="0" t="n">
        <v>19735</v>
      </c>
    </row>
    <row r="609" customFormat="false" ht="15" hidden="false" customHeight="false" outlineLevel="0" collapsed="false">
      <c r="A609" s="0" t="n">
        <v>2021</v>
      </c>
      <c r="B609" s="0" t="s">
        <v>254</v>
      </c>
      <c r="C609" s="0" t="s">
        <v>255</v>
      </c>
      <c r="D609" s="0" t="s">
        <v>74</v>
      </c>
      <c r="E609" s="0" t="n">
        <v>240308</v>
      </c>
      <c r="F609" s="0" t="n">
        <v>17680</v>
      </c>
      <c r="G609" s="0" t="n">
        <v>18274</v>
      </c>
      <c r="H609" s="0" t="n">
        <v>15115</v>
      </c>
    </row>
    <row r="610" customFormat="false" ht="15" hidden="false" customHeight="false" outlineLevel="0" collapsed="false">
      <c r="A610" s="0" t="n">
        <v>2021</v>
      </c>
      <c r="B610" s="0" t="s">
        <v>260</v>
      </c>
      <c r="C610" s="0" t="s">
        <v>261</v>
      </c>
      <c r="D610" s="0" t="s">
        <v>72</v>
      </c>
      <c r="E610" s="0" t="n">
        <v>304273</v>
      </c>
      <c r="F610" s="0" t="n">
        <v>23115</v>
      </c>
      <c r="G610" s="0" t="n">
        <v>21399</v>
      </c>
      <c r="H610" s="0" t="n">
        <v>19302</v>
      </c>
    </row>
    <row r="611" customFormat="false" ht="15" hidden="false" customHeight="false" outlineLevel="0" collapsed="false">
      <c r="A611" s="0" t="n">
        <v>2021</v>
      </c>
      <c r="B611" s="0" t="s">
        <v>262</v>
      </c>
      <c r="C611" s="0" t="s">
        <v>263</v>
      </c>
      <c r="D611" s="0" t="s">
        <v>74</v>
      </c>
      <c r="E611" s="0" t="n">
        <v>325491</v>
      </c>
      <c r="F611" s="0" t="n">
        <v>16695</v>
      </c>
      <c r="G611" s="0" t="n">
        <v>15725</v>
      </c>
      <c r="H611" s="0" t="n">
        <v>15839</v>
      </c>
    </row>
    <row r="612" customFormat="false" ht="15" hidden="false" customHeight="false" outlineLevel="0" collapsed="false">
      <c r="A612" s="0" t="n">
        <v>2021</v>
      </c>
      <c r="B612" s="0" t="s">
        <v>264</v>
      </c>
      <c r="C612" s="0" t="s">
        <v>265</v>
      </c>
      <c r="D612" s="0" t="s">
        <v>72</v>
      </c>
      <c r="E612" s="0" t="n">
        <v>392519</v>
      </c>
      <c r="F612" s="0" t="n">
        <v>25203</v>
      </c>
      <c r="G612" s="0" t="n">
        <v>23916</v>
      </c>
      <c r="H612" s="0" t="n">
        <v>20045</v>
      </c>
    </row>
    <row r="613" customFormat="false" ht="15" hidden="false" customHeight="false" outlineLevel="0" collapsed="false">
      <c r="A613" s="0" t="n">
        <v>2021</v>
      </c>
      <c r="B613" s="0" t="s">
        <v>258</v>
      </c>
      <c r="C613" s="0" t="s">
        <v>259</v>
      </c>
      <c r="D613" s="0" t="s">
        <v>75</v>
      </c>
      <c r="E613" s="0" t="n">
        <v>205169</v>
      </c>
      <c r="F613" s="0" t="n">
        <v>15863</v>
      </c>
      <c r="G613" s="0" t="n">
        <v>15125</v>
      </c>
      <c r="H613" s="0" t="n">
        <v>15371</v>
      </c>
    </row>
    <row r="614" customFormat="false" ht="15" hidden="false" customHeight="false" outlineLevel="0" collapsed="false">
      <c r="A614" s="0" t="n">
        <v>2021</v>
      </c>
      <c r="B614" s="0" t="s">
        <v>266</v>
      </c>
      <c r="C614" s="0" t="s">
        <v>267</v>
      </c>
      <c r="D614" s="0" t="s">
        <v>73</v>
      </c>
      <c r="E614" s="0" t="n">
        <v>106309</v>
      </c>
      <c r="F614" s="0" t="n">
        <v>20024</v>
      </c>
      <c r="G614" s="0" t="n">
        <v>19298</v>
      </c>
      <c r="H614" s="0" t="n">
        <v>18891</v>
      </c>
    </row>
    <row r="615" customFormat="false" ht="15" hidden="false" customHeight="false" outlineLevel="0" collapsed="false">
      <c r="A615" s="0" t="n">
        <v>2021</v>
      </c>
      <c r="B615" s="0" t="s">
        <v>270</v>
      </c>
      <c r="C615" s="0" t="s">
        <v>271</v>
      </c>
      <c r="D615" s="0" t="s">
        <v>73</v>
      </c>
      <c r="E615" s="0" t="n">
        <v>2893551</v>
      </c>
      <c r="F615" s="0" t="n">
        <v>26148</v>
      </c>
      <c r="G615" s="0" t="n">
        <v>24360</v>
      </c>
      <c r="H615" s="0" t="n">
        <v>23316</v>
      </c>
    </row>
    <row r="616" customFormat="false" ht="15" hidden="false" customHeight="false" outlineLevel="0" collapsed="false">
      <c r="A616" s="0" t="n">
        <v>2021</v>
      </c>
      <c r="B616" s="0" t="s">
        <v>268</v>
      </c>
      <c r="C616" s="0" t="s">
        <v>269</v>
      </c>
      <c r="D616" s="0" t="s">
        <v>72</v>
      </c>
      <c r="E616" s="0" t="n">
        <v>261243</v>
      </c>
      <c r="F616" s="0" t="n">
        <v>20853</v>
      </c>
      <c r="G616" s="0" t="n">
        <v>18608</v>
      </c>
      <c r="H616" s="0" t="n">
        <v>17186</v>
      </c>
    </row>
    <row r="617" customFormat="false" ht="15" hidden="false" customHeight="false" outlineLevel="0" collapsed="false">
      <c r="A617" s="0" t="n">
        <v>2021</v>
      </c>
      <c r="B617" s="0" t="s">
        <v>272</v>
      </c>
      <c r="C617" s="0" t="s">
        <v>273</v>
      </c>
      <c r="D617" s="0" t="s">
        <v>72</v>
      </c>
      <c r="E617" s="0" t="n">
        <v>178807</v>
      </c>
      <c r="F617" s="0" t="n">
        <v>20842</v>
      </c>
      <c r="G617" s="0" t="n">
        <v>20218</v>
      </c>
      <c r="H617" s="0" t="n">
        <v>17324</v>
      </c>
    </row>
    <row r="618" customFormat="false" ht="15" hidden="false" customHeight="false" outlineLevel="0" collapsed="false">
      <c r="A618" s="0" t="n">
        <v>2021</v>
      </c>
      <c r="B618" s="0" t="s">
        <v>274</v>
      </c>
      <c r="C618" s="0" t="s">
        <v>275</v>
      </c>
      <c r="D618" s="0" t="s">
        <v>74</v>
      </c>
      <c r="E618" s="0" t="n">
        <v>674132</v>
      </c>
      <c r="F618" s="0" t="n">
        <v>17500</v>
      </c>
      <c r="G618" s="0" t="n">
        <v>16767</v>
      </c>
      <c r="H618" s="0" t="n">
        <v>15938</v>
      </c>
    </row>
    <row r="619" customFormat="false" ht="15" hidden="false" customHeight="false" outlineLevel="0" collapsed="false">
      <c r="A619" s="0" t="n">
        <v>2021</v>
      </c>
      <c r="B619" s="0" t="s">
        <v>280</v>
      </c>
      <c r="C619" s="0" t="s">
        <v>281</v>
      </c>
      <c r="D619" s="0" t="s">
        <v>73</v>
      </c>
      <c r="E619" s="0" t="n">
        <v>200770</v>
      </c>
      <c r="F619" s="0" t="n">
        <v>23321</v>
      </c>
      <c r="G619" s="0" t="n">
        <v>21407</v>
      </c>
      <c r="H619" s="0" t="n">
        <v>20029</v>
      </c>
    </row>
    <row r="620" customFormat="false" ht="15" hidden="false" customHeight="false" outlineLevel="0" collapsed="false">
      <c r="A620" s="0" t="n">
        <v>2021</v>
      </c>
      <c r="B620" s="0" t="s">
        <v>284</v>
      </c>
      <c r="C620" s="0" t="s">
        <v>285</v>
      </c>
      <c r="D620" s="0" t="s">
        <v>72</v>
      </c>
      <c r="E620" s="0" t="n">
        <v>135903</v>
      </c>
      <c r="F620" s="0" t="n">
        <v>21396</v>
      </c>
      <c r="G620" s="0" t="n">
        <v>20475</v>
      </c>
      <c r="H620" s="0" t="n">
        <v>17345</v>
      </c>
    </row>
    <row r="621" customFormat="false" ht="15" hidden="false" customHeight="false" outlineLevel="0" collapsed="false">
      <c r="A621" s="0" t="n">
        <v>2021</v>
      </c>
      <c r="B621" s="0" t="s">
        <v>194</v>
      </c>
      <c r="C621" s="0" t="s">
        <v>195</v>
      </c>
      <c r="D621" s="0" t="s">
        <v>72</v>
      </c>
      <c r="E621" s="0" t="n">
        <v>161423</v>
      </c>
      <c r="F621" s="0" t="n">
        <v>23146</v>
      </c>
      <c r="G621" s="0" t="n">
        <v>21685</v>
      </c>
      <c r="H621" s="0" t="n">
        <v>20450</v>
      </c>
    </row>
    <row r="622" customFormat="false" ht="15" hidden="false" customHeight="false" outlineLevel="0" collapsed="false">
      <c r="A622" s="0" t="n">
        <v>2021</v>
      </c>
      <c r="B622" s="0" t="s">
        <v>282</v>
      </c>
      <c r="C622" s="0" t="s">
        <v>283</v>
      </c>
      <c r="D622" s="0" t="s">
        <v>75</v>
      </c>
      <c r="E622" s="0" t="n">
        <v>232613</v>
      </c>
      <c r="F622" s="0" t="n">
        <v>17868</v>
      </c>
      <c r="G622" s="0" t="n">
        <v>17743</v>
      </c>
      <c r="H622" s="0" t="n">
        <v>17281</v>
      </c>
    </row>
    <row r="623" customFormat="false" ht="15" hidden="false" customHeight="false" outlineLevel="0" collapsed="false">
      <c r="A623" s="0" t="n">
        <v>2021</v>
      </c>
      <c r="B623" s="0" t="s">
        <v>276</v>
      </c>
      <c r="C623" s="0" t="s">
        <v>277</v>
      </c>
      <c r="D623" s="0" t="s">
        <v>75</v>
      </c>
      <c r="E623" s="0" t="n">
        <v>327535</v>
      </c>
      <c r="F623" s="0" t="n">
        <v>18846</v>
      </c>
      <c r="G623" s="0" t="n">
        <v>17635</v>
      </c>
      <c r="H623" s="0" t="n">
        <v>17756</v>
      </c>
    </row>
    <row r="624" customFormat="false" ht="15" hidden="false" customHeight="false" outlineLevel="0" collapsed="false">
      <c r="A624" s="0" t="n">
        <v>2021</v>
      </c>
      <c r="B624" s="0" t="s">
        <v>286</v>
      </c>
      <c r="C624" s="0" t="s">
        <v>287</v>
      </c>
      <c r="D624" s="0" t="s">
        <v>75</v>
      </c>
      <c r="E624" s="0" t="n">
        <v>222706</v>
      </c>
      <c r="F624" s="0" t="n">
        <v>16622</v>
      </c>
      <c r="G624" s="0" t="n">
        <v>16690</v>
      </c>
      <c r="H624" s="0" t="n">
        <v>15443</v>
      </c>
    </row>
    <row r="625" customFormat="false" ht="15" hidden="false" customHeight="false" outlineLevel="0" collapsed="false">
      <c r="A625" s="0" t="n">
        <v>2021</v>
      </c>
      <c r="B625" s="0" t="s">
        <v>278</v>
      </c>
      <c r="C625" s="0" t="s">
        <v>279</v>
      </c>
      <c r="D625" s="0" t="s">
        <v>72</v>
      </c>
      <c r="E625" s="0" t="n">
        <v>206393</v>
      </c>
      <c r="F625" s="0" t="n">
        <v>22738</v>
      </c>
      <c r="G625" s="0" t="n">
        <v>20803</v>
      </c>
      <c r="H625" s="0" t="n">
        <v>19110</v>
      </c>
    </row>
    <row r="626" customFormat="false" ht="15" hidden="false" customHeight="false" outlineLevel="0" collapsed="false">
      <c r="A626" s="0" t="n">
        <v>2021</v>
      </c>
      <c r="B626" s="0" t="s">
        <v>288</v>
      </c>
      <c r="C626" s="0" t="s">
        <v>289</v>
      </c>
      <c r="D626" s="0" t="s">
        <v>74</v>
      </c>
      <c r="E626" s="0" t="n">
        <v>364583</v>
      </c>
      <c r="F626" s="0" t="n">
        <v>18152</v>
      </c>
      <c r="G626" s="0" t="n">
        <v>17405</v>
      </c>
      <c r="H626" s="0" t="n">
        <v>18051</v>
      </c>
    </row>
    <row r="627" customFormat="false" ht="15" hidden="false" customHeight="false" outlineLevel="0" collapsed="false">
      <c r="A627" s="0" t="n">
        <v>2021</v>
      </c>
      <c r="B627" s="0" t="s">
        <v>290</v>
      </c>
      <c r="C627" s="0" t="s">
        <v>291</v>
      </c>
      <c r="D627" s="0" t="s">
        <v>74</v>
      </c>
      <c r="E627" s="0" t="n">
        <v>217934</v>
      </c>
      <c r="F627" s="0" t="n">
        <v>18561</v>
      </c>
      <c r="G627" s="0" t="n">
        <v>18048</v>
      </c>
      <c r="H627" s="0" t="n">
        <v>15780</v>
      </c>
    </row>
    <row r="628" customFormat="false" ht="15" hidden="false" customHeight="false" outlineLevel="0" collapsed="false">
      <c r="A628" s="0" t="n">
        <v>2021</v>
      </c>
      <c r="B628" s="0" t="s">
        <v>298</v>
      </c>
      <c r="C628" s="0" t="s">
        <v>299</v>
      </c>
      <c r="D628" s="0" t="s">
        <v>72</v>
      </c>
      <c r="E628" s="0" t="n">
        <v>429799</v>
      </c>
      <c r="F628" s="0" t="n">
        <v>23312</v>
      </c>
      <c r="G628" s="0" t="n">
        <v>20555</v>
      </c>
      <c r="H628" s="0" t="n">
        <v>19474</v>
      </c>
    </row>
    <row r="629" customFormat="false" ht="15" hidden="false" customHeight="false" outlineLevel="0" collapsed="false">
      <c r="A629" s="0" t="n">
        <v>2021</v>
      </c>
      <c r="B629" s="0" t="s">
        <v>294</v>
      </c>
      <c r="C629" s="0" t="s">
        <v>295</v>
      </c>
      <c r="D629" s="0" t="s">
        <v>72</v>
      </c>
      <c r="E629" s="0" t="n">
        <v>1631701</v>
      </c>
      <c r="F629" s="0" t="n">
        <v>25007</v>
      </c>
      <c r="G629" s="0" t="n">
        <v>23812</v>
      </c>
      <c r="H629" s="0" t="n">
        <v>21006</v>
      </c>
    </row>
    <row r="630" customFormat="false" ht="15" hidden="false" customHeight="false" outlineLevel="0" collapsed="false">
      <c r="A630" s="0" t="n">
        <v>2021</v>
      </c>
      <c r="B630" s="0" t="s">
        <v>296</v>
      </c>
      <c r="C630" s="0" t="s">
        <v>297</v>
      </c>
      <c r="D630" s="0" t="s">
        <v>75</v>
      </c>
      <c r="E630" s="0" t="n">
        <v>260283</v>
      </c>
      <c r="F630" s="0" t="n">
        <v>16552</v>
      </c>
      <c r="G630" s="0" t="n">
        <v>16390</v>
      </c>
      <c r="H630" s="0" t="n">
        <v>15601</v>
      </c>
    </row>
    <row r="631" customFormat="false" ht="15" hidden="false" customHeight="false" outlineLevel="0" collapsed="false">
      <c r="A631" s="0" t="n">
        <v>2021</v>
      </c>
      <c r="B631" s="0" t="s">
        <v>292</v>
      </c>
      <c r="C631" s="0" t="s">
        <v>293</v>
      </c>
      <c r="D631" s="0" t="s">
        <v>73</v>
      </c>
      <c r="E631" s="0" t="n">
        <v>161114</v>
      </c>
      <c r="F631" s="0" t="n">
        <v>20765</v>
      </c>
      <c r="G631" s="0" t="n">
        <v>19379</v>
      </c>
      <c r="H631" s="0" t="n">
        <v>19081</v>
      </c>
    </row>
    <row r="632" customFormat="false" ht="15" hidden="false" customHeight="false" outlineLevel="0" collapsed="false">
      <c r="A632" s="0" t="n">
        <v>2021</v>
      </c>
      <c r="B632" s="0" t="s">
        <v>302</v>
      </c>
      <c r="C632" s="0" t="s">
        <v>303</v>
      </c>
      <c r="D632" s="0" t="s">
        <v>72</v>
      </c>
      <c r="E632" s="0" t="n">
        <v>181432</v>
      </c>
      <c r="F632" s="0" t="n">
        <v>24934</v>
      </c>
      <c r="G632" s="0" t="n">
        <v>23395</v>
      </c>
      <c r="H632" s="0" t="n">
        <v>21785</v>
      </c>
    </row>
    <row r="633" customFormat="false" ht="15" hidden="false" customHeight="false" outlineLevel="0" collapsed="false">
      <c r="A633" s="0" t="n">
        <v>2021</v>
      </c>
      <c r="B633" s="0" t="s">
        <v>300</v>
      </c>
      <c r="C633" s="0" t="s">
        <v>301</v>
      </c>
      <c r="D633" s="0" t="s">
        <v>72</v>
      </c>
      <c r="E633" s="0" t="n">
        <v>656917</v>
      </c>
      <c r="F633" s="0" t="n">
        <v>23930</v>
      </c>
      <c r="G633" s="0" t="n">
        <v>22779</v>
      </c>
      <c r="H633" s="0" t="n">
        <v>18386</v>
      </c>
    </row>
    <row r="634" customFormat="false" ht="15" hidden="false" customHeight="false" outlineLevel="0" collapsed="false">
      <c r="A634" s="0" t="n">
        <v>2021</v>
      </c>
      <c r="B634" s="0" t="s">
        <v>304</v>
      </c>
      <c r="C634" s="0" t="s">
        <v>305</v>
      </c>
      <c r="D634" s="0" t="s">
        <v>72</v>
      </c>
      <c r="E634" s="0" t="n">
        <v>407477</v>
      </c>
      <c r="F634" s="0" t="n">
        <v>23181</v>
      </c>
      <c r="G634" s="0" t="n">
        <v>22320</v>
      </c>
      <c r="H634" s="0" t="n">
        <v>18970</v>
      </c>
    </row>
    <row r="635" customFormat="false" ht="15" hidden="false" customHeight="false" outlineLevel="0" collapsed="false">
      <c r="A635" s="0" t="n">
        <v>2021</v>
      </c>
      <c r="B635" s="0" t="s">
        <v>306</v>
      </c>
      <c r="C635" s="0" t="s">
        <v>307</v>
      </c>
      <c r="D635" s="0" t="s">
        <v>72</v>
      </c>
      <c r="E635" s="0" t="n">
        <v>630679</v>
      </c>
      <c r="F635" s="0" t="n">
        <v>24731</v>
      </c>
      <c r="G635" s="0" t="n">
        <v>24321</v>
      </c>
      <c r="H635" s="0" t="n">
        <v>19928</v>
      </c>
    </row>
    <row r="636" customFormat="false" ht="15" hidden="false" customHeight="false" outlineLevel="0" collapsed="false">
      <c r="A636" s="0" t="n">
        <v>2021</v>
      </c>
      <c r="B636" s="0" t="s">
        <v>310</v>
      </c>
      <c r="C636" s="0" t="s">
        <v>311</v>
      </c>
      <c r="D636" s="0" t="s">
        <v>72</v>
      </c>
      <c r="E636" s="0" t="n">
        <v>115123</v>
      </c>
      <c r="F636" s="0" t="n">
        <v>21092</v>
      </c>
      <c r="G636" s="0" t="n">
        <v>20298</v>
      </c>
      <c r="H636" s="0" t="n">
        <v>17723</v>
      </c>
    </row>
    <row r="637" customFormat="false" ht="15" hidden="false" customHeight="false" outlineLevel="0" collapsed="false">
      <c r="A637" s="0" t="n">
        <v>2021</v>
      </c>
      <c r="B637" s="0" t="s">
        <v>312</v>
      </c>
      <c r="C637" s="0" t="s">
        <v>313</v>
      </c>
      <c r="D637" s="0" t="s">
        <v>72</v>
      </c>
      <c r="E637" s="0" t="n">
        <v>126593</v>
      </c>
      <c r="F637" s="0" t="n">
        <v>22624</v>
      </c>
      <c r="G637" s="0" t="n">
        <v>21900</v>
      </c>
      <c r="H637" s="0" t="n">
        <v>19204</v>
      </c>
    </row>
    <row r="638" customFormat="false" ht="15" hidden="false" customHeight="false" outlineLevel="0" collapsed="false">
      <c r="A638" s="0" t="n">
        <v>2021</v>
      </c>
      <c r="B638" s="0" t="s">
        <v>308</v>
      </c>
      <c r="C638" s="0" t="s">
        <v>309</v>
      </c>
      <c r="D638" s="0" t="s">
        <v>72</v>
      </c>
      <c r="E638" s="0" t="n">
        <v>633649</v>
      </c>
      <c r="F638" s="0" t="n">
        <v>22819</v>
      </c>
      <c r="G638" s="0" t="n">
        <v>21265</v>
      </c>
      <c r="H638" s="0" t="n">
        <v>19306</v>
      </c>
    </row>
    <row r="639" customFormat="false" ht="15" hidden="false" customHeight="false" outlineLevel="0" collapsed="false">
      <c r="A639" s="0" t="n">
        <v>2021</v>
      </c>
      <c r="B639" s="0" t="s">
        <v>318</v>
      </c>
      <c r="C639" s="0" t="s">
        <v>319</v>
      </c>
      <c r="D639" s="0" t="s">
        <v>72</v>
      </c>
      <c r="E639" s="0" t="n">
        <v>642545</v>
      </c>
      <c r="F639" s="0" t="n">
        <v>24076</v>
      </c>
      <c r="G639" s="0" t="n">
        <v>23139</v>
      </c>
      <c r="H639" s="0" t="n">
        <v>18549</v>
      </c>
    </row>
    <row r="640" customFormat="false" ht="15" hidden="false" customHeight="false" outlineLevel="0" collapsed="false">
      <c r="A640" s="0" t="n">
        <v>2021</v>
      </c>
      <c r="B640" s="0" t="s">
        <v>314</v>
      </c>
      <c r="C640" s="0" t="s">
        <v>315</v>
      </c>
      <c r="D640" s="0" t="s">
        <v>72</v>
      </c>
      <c r="E640" s="0" t="n">
        <v>699700</v>
      </c>
      <c r="F640" s="0" t="n">
        <v>23540</v>
      </c>
      <c r="G640" s="0" t="n">
        <v>21944</v>
      </c>
      <c r="H640" s="0" t="n">
        <v>18833</v>
      </c>
    </row>
    <row r="641" customFormat="false" ht="15" hidden="false" customHeight="false" outlineLevel="0" collapsed="false">
      <c r="A641" s="0" t="n">
        <v>2021</v>
      </c>
      <c r="B641" s="0" t="s">
        <v>320</v>
      </c>
      <c r="C641" s="0" t="s">
        <v>321</v>
      </c>
      <c r="D641" s="0" t="s">
        <v>73</v>
      </c>
      <c r="E641" s="0" t="n">
        <v>216667</v>
      </c>
      <c r="F641" s="0" t="n">
        <v>19695</v>
      </c>
      <c r="G641" s="0" t="n">
        <v>18924</v>
      </c>
      <c r="H641" s="0" t="n">
        <v>18512</v>
      </c>
    </row>
    <row r="642" customFormat="false" ht="15" hidden="false" customHeight="false" outlineLevel="0" collapsed="false">
      <c r="A642" s="0" t="n">
        <v>2021</v>
      </c>
      <c r="B642" s="0" t="s">
        <v>316</v>
      </c>
      <c r="C642" s="0" t="s">
        <v>317</v>
      </c>
      <c r="D642" s="0" t="s">
        <v>74</v>
      </c>
      <c r="E642" s="0" t="n">
        <v>97730</v>
      </c>
      <c r="F642" s="0" t="n">
        <v>15423</v>
      </c>
      <c r="G642" s="0" t="n">
        <v>14662</v>
      </c>
      <c r="H642" s="0" t="n">
        <v>14765</v>
      </c>
    </row>
    <row r="643" customFormat="false" ht="15" hidden="false" customHeight="false" outlineLevel="0" collapsed="false">
      <c r="A643" s="0" t="n">
        <v>2022</v>
      </c>
      <c r="B643" s="0" t="s">
        <v>90</v>
      </c>
      <c r="C643" s="0" t="s">
        <v>91</v>
      </c>
      <c r="D643" s="0" t="s">
        <v>75</v>
      </c>
      <c r="E643" s="0" t="n">
        <v>251241</v>
      </c>
      <c r="F643" s="0" t="n">
        <v>16468</v>
      </c>
      <c r="G643" s="0" t="n">
        <v>16922</v>
      </c>
      <c r="H643" s="0" t="n">
        <v>14621</v>
      </c>
    </row>
    <row r="644" customFormat="false" ht="15" hidden="false" customHeight="false" outlineLevel="0" collapsed="false">
      <c r="A644" s="0" t="n">
        <v>2022</v>
      </c>
      <c r="B644" s="0" t="s">
        <v>93</v>
      </c>
      <c r="C644" s="0" t="s">
        <v>94</v>
      </c>
      <c r="D644" s="0" t="s">
        <v>72</v>
      </c>
      <c r="E644" s="0" t="n">
        <v>307902</v>
      </c>
      <c r="F644" s="0" t="n">
        <v>23872</v>
      </c>
      <c r="G644" s="0" t="n">
        <v>22916</v>
      </c>
      <c r="H644" s="0" t="n">
        <v>19857</v>
      </c>
    </row>
    <row r="645" customFormat="false" ht="15" hidden="false" customHeight="false" outlineLevel="0" collapsed="false">
      <c r="A645" s="0" t="n">
        <v>2022</v>
      </c>
      <c r="B645" s="0" t="s">
        <v>96</v>
      </c>
      <c r="C645" s="0" t="s">
        <v>97</v>
      </c>
      <c r="D645" s="0" t="s">
        <v>73</v>
      </c>
      <c r="E645" s="0" t="n">
        <v>354754</v>
      </c>
      <c r="F645" s="0" t="n">
        <v>23659</v>
      </c>
      <c r="G645" s="0" t="n">
        <v>21617</v>
      </c>
      <c r="H645" s="0" t="n">
        <v>20196</v>
      </c>
    </row>
    <row r="646" customFormat="false" ht="15" hidden="false" customHeight="false" outlineLevel="0" collapsed="false">
      <c r="A646" s="0" t="n">
        <v>2022</v>
      </c>
      <c r="B646" s="0" t="s">
        <v>99</v>
      </c>
      <c r="C646" s="0" t="s">
        <v>100</v>
      </c>
      <c r="D646" s="0" t="s">
        <v>72</v>
      </c>
      <c r="E646" s="0" t="n">
        <v>98725</v>
      </c>
      <c r="F646" s="0" t="n">
        <v>24902</v>
      </c>
      <c r="G646" s="0" t="n">
        <v>21636</v>
      </c>
      <c r="H646" s="0" t="n">
        <v>20515</v>
      </c>
    </row>
    <row r="647" customFormat="false" ht="15" hidden="false" customHeight="false" outlineLevel="0" collapsed="false">
      <c r="A647" s="0" t="n">
        <v>2022</v>
      </c>
      <c r="B647" s="0" t="s">
        <v>105</v>
      </c>
      <c r="C647" s="0" t="s">
        <v>106</v>
      </c>
      <c r="D647" s="0" t="s">
        <v>73</v>
      </c>
      <c r="E647" s="0" t="n">
        <v>152975</v>
      </c>
      <c r="F647" s="0" t="n">
        <v>21304</v>
      </c>
      <c r="G647" s="0" t="n">
        <v>19947</v>
      </c>
      <c r="H647" s="0" t="n">
        <v>18051</v>
      </c>
    </row>
    <row r="648" customFormat="false" ht="15" hidden="false" customHeight="false" outlineLevel="0" collapsed="false">
      <c r="A648" s="0" t="n">
        <v>2022</v>
      </c>
      <c r="B648" s="0" t="s">
        <v>192</v>
      </c>
      <c r="C648" s="0" t="s">
        <v>193</v>
      </c>
      <c r="D648" s="0" t="s">
        <v>74</v>
      </c>
      <c r="E648" s="0" t="n">
        <v>209289</v>
      </c>
      <c r="F648" s="0" t="n">
        <v>21137</v>
      </c>
      <c r="G648" s="0" t="n">
        <v>20566</v>
      </c>
      <c r="H648" s="0" t="n">
        <v>18849</v>
      </c>
    </row>
    <row r="649" customFormat="false" ht="15" hidden="false" customHeight="false" outlineLevel="0" collapsed="false">
      <c r="A649" s="0" t="n">
        <v>2022</v>
      </c>
      <c r="B649" s="0" t="s">
        <v>102</v>
      </c>
      <c r="C649" s="0" t="s">
        <v>103</v>
      </c>
      <c r="D649" s="0" t="s">
        <v>73</v>
      </c>
      <c r="E649" s="0" t="n">
        <v>256818</v>
      </c>
      <c r="F649" s="0" t="n">
        <v>23204</v>
      </c>
      <c r="G649" s="0" t="n">
        <v>21488</v>
      </c>
      <c r="H649" s="0" t="n">
        <v>19056</v>
      </c>
    </row>
    <row r="650" customFormat="false" ht="15" hidden="false" customHeight="false" outlineLevel="0" collapsed="false">
      <c r="A650" s="0" t="n">
        <v>2022</v>
      </c>
      <c r="B650" s="0" t="s">
        <v>107</v>
      </c>
      <c r="C650" s="0" t="s">
        <v>108</v>
      </c>
      <c r="D650" s="0" t="s">
        <v>72</v>
      </c>
      <c r="E650" s="0" t="n">
        <v>156577</v>
      </c>
      <c r="F650" s="0" t="n">
        <v>23074</v>
      </c>
      <c r="G650" s="0" t="n">
        <v>21732</v>
      </c>
      <c r="H650" s="0" t="n">
        <v>19259</v>
      </c>
    </row>
    <row r="651" customFormat="false" ht="15" hidden="false" customHeight="false" outlineLevel="0" collapsed="false">
      <c r="A651" s="0" t="n">
        <v>2022</v>
      </c>
      <c r="B651" s="0" t="s">
        <v>109</v>
      </c>
      <c r="C651" s="0" t="s">
        <v>110</v>
      </c>
      <c r="D651" s="0" t="s">
        <v>74</v>
      </c>
      <c r="E651" s="0" t="n">
        <v>265669</v>
      </c>
      <c r="F651" s="0" t="n">
        <v>18245</v>
      </c>
      <c r="G651" s="0" t="n">
        <v>18587</v>
      </c>
      <c r="H651" s="0" t="n">
        <v>15824</v>
      </c>
    </row>
    <row r="652" customFormat="false" ht="15" hidden="false" customHeight="false" outlineLevel="0" collapsed="false">
      <c r="A652" s="0" t="n">
        <v>2022</v>
      </c>
      <c r="B652" s="0" t="s">
        <v>112</v>
      </c>
      <c r="C652" s="0" t="s">
        <v>113</v>
      </c>
      <c r="D652" s="0" t="s">
        <v>74</v>
      </c>
      <c r="E652" s="0" t="n">
        <v>828594</v>
      </c>
      <c r="F652" s="0" t="n">
        <v>20237</v>
      </c>
      <c r="G652" s="0" t="n">
        <v>19303</v>
      </c>
      <c r="H652" s="0" t="n">
        <v>18434</v>
      </c>
    </row>
    <row r="653" customFormat="false" ht="15" hidden="false" customHeight="false" outlineLevel="0" collapsed="false">
      <c r="A653" s="0" t="n">
        <v>2022</v>
      </c>
      <c r="B653" s="0" t="s">
        <v>122</v>
      </c>
      <c r="C653" s="0" t="s">
        <v>123</v>
      </c>
      <c r="D653" s="0" t="s">
        <v>72</v>
      </c>
      <c r="E653" s="0" t="n">
        <v>822954</v>
      </c>
      <c r="F653" s="0" t="n">
        <v>25671</v>
      </c>
      <c r="G653" s="0" t="n">
        <v>24764</v>
      </c>
      <c r="H653" s="0" t="n">
        <v>20075</v>
      </c>
    </row>
    <row r="654" customFormat="false" ht="15" hidden="false" customHeight="false" outlineLevel="0" collapsed="false">
      <c r="A654" s="0" t="n">
        <v>2022</v>
      </c>
      <c r="B654" s="0" t="s">
        <v>125</v>
      </c>
      <c r="C654" s="0" t="s">
        <v>126</v>
      </c>
      <c r="D654" s="0" t="s">
        <v>72</v>
      </c>
      <c r="E654" s="0" t="n">
        <v>133849</v>
      </c>
      <c r="F654" s="0" t="n">
        <v>23868</v>
      </c>
      <c r="G654" s="0" t="n">
        <v>23230</v>
      </c>
      <c r="H654" s="0" t="n">
        <v>19694</v>
      </c>
    </row>
    <row r="655" customFormat="false" ht="15" hidden="false" customHeight="false" outlineLevel="0" collapsed="false">
      <c r="A655" s="0" t="n">
        <v>2022</v>
      </c>
      <c r="B655" s="0" t="s">
        <v>117</v>
      </c>
      <c r="C655" s="0" t="s">
        <v>118</v>
      </c>
      <c r="D655" s="0" t="s">
        <v>72</v>
      </c>
      <c r="E655" s="0" t="n">
        <v>163932</v>
      </c>
      <c r="F655" s="0" t="n">
        <v>23942</v>
      </c>
      <c r="G655" s="0" t="n">
        <v>22437</v>
      </c>
      <c r="H655" s="0" t="n">
        <v>18847</v>
      </c>
    </row>
    <row r="656" customFormat="false" ht="15" hidden="false" customHeight="false" outlineLevel="0" collapsed="false">
      <c r="A656" s="0" t="n">
        <v>2022</v>
      </c>
      <c r="B656" s="0" t="s">
        <v>120</v>
      </c>
      <c r="C656" s="0" t="s">
        <v>121</v>
      </c>
      <c r="D656" s="0" t="s">
        <v>74</v>
      </c>
      <c r="E656" s="0" t="n">
        <v>176732</v>
      </c>
      <c r="F656" s="0" t="n">
        <v>17806</v>
      </c>
      <c r="G656" s="0" t="n">
        <v>18284</v>
      </c>
      <c r="H656" s="0" t="n">
        <v>15635</v>
      </c>
    </row>
    <row r="657" customFormat="false" ht="15" hidden="false" customHeight="false" outlineLevel="0" collapsed="false">
      <c r="A657" s="0" t="n">
        <v>2022</v>
      </c>
      <c r="B657" s="0" t="s">
        <v>127</v>
      </c>
      <c r="C657" s="0" t="s">
        <v>128</v>
      </c>
      <c r="D657" s="0" t="s">
        <v>72</v>
      </c>
      <c r="E657" s="0" t="n">
        <v>796738</v>
      </c>
      <c r="F657" s="0" t="n">
        <v>28263</v>
      </c>
      <c r="G657" s="0" t="n">
        <v>25516</v>
      </c>
      <c r="H657" s="0" t="n">
        <v>22833</v>
      </c>
    </row>
    <row r="658" customFormat="false" ht="15" hidden="false" customHeight="false" outlineLevel="0" collapsed="false">
      <c r="A658" s="0" t="n">
        <v>2022</v>
      </c>
      <c r="B658" s="0" t="s">
        <v>135</v>
      </c>
      <c r="C658" s="0" t="s">
        <v>136</v>
      </c>
      <c r="D658" s="0" t="s">
        <v>74</v>
      </c>
      <c r="E658" s="0" t="n">
        <v>260246</v>
      </c>
      <c r="F658" s="0" t="n">
        <v>17937</v>
      </c>
      <c r="G658" s="0" t="n">
        <v>17213</v>
      </c>
      <c r="H658" s="0" t="n">
        <v>16751</v>
      </c>
    </row>
    <row r="659" customFormat="false" ht="15" hidden="false" customHeight="false" outlineLevel="0" collapsed="false">
      <c r="A659" s="0" t="n">
        <v>2022</v>
      </c>
      <c r="B659" s="0" t="s">
        <v>133</v>
      </c>
      <c r="C659" s="0" t="s">
        <v>134</v>
      </c>
      <c r="D659" s="0" t="s">
        <v>72</v>
      </c>
      <c r="E659" s="0" t="n">
        <v>927113</v>
      </c>
      <c r="F659" s="0" t="n">
        <v>25057</v>
      </c>
      <c r="G659" s="0" t="n">
        <v>23718</v>
      </c>
      <c r="H659" s="0" t="n">
        <v>19239</v>
      </c>
    </row>
    <row r="660" customFormat="false" ht="15" hidden="false" customHeight="false" outlineLevel="0" collapsed="false">
      <c r="A660" s="0" t="n">
        <v>2022</v>
      </c>
      <c r="B660" s="0" t="s">
        <v>115</v>
      </c>
      <c r="C660" s="0" t="s">
        <v>116</v>
      </c>
      <c r="D660" s="0" t="s">
        <v>74</v>
      </c>
      <c r="E660" s="0" t="n">
        <v>238668</v>
      </c>
      <c r="F660" s="0" t="n">
        <v>16985</v>
      </c>
      <c r="G660" s="0" t="n">
        <v>16486</v>
      </c>
      <c r="H660" s="0" t="n">
        <v>15794</v>
      </c>
    </row>
    <row r="661" customFormat="false" ht="15" hidden="false" customHeight="false" outlineLevel="0" collapsed="false">
      <c r="A661" s="0" t="n">
        <v>2022</v>
      </c>
      <c r="B661" s="0" t="s">
        <v>130</v>
      </c>
      <c r="C661" s="0" t="s">
        <v>131</v>
      </c>
      <c r="D661" s="0" t="s">
        <v>72</v>
      </c>
      <c r="E661" s="0" t="n">
        <v>440957</v>
      </c>
      <c r="F661" s="0" t="n">
        <v>27225</v>
      </c>
      <c r="G661" s="0" t="n">
        <v>23629</v>
      </c>
      <c r="H661" s="0" t="n">
        <v>20540</v>
      </c>
    </row>
    <row r="662" customFormat="false" ht="15" hidden="false" customHeight="false" outlineLevel="0" collapsed="false">
      <c r="A662" s="0" t="n">
        <v>2022</v>
      </c>
      <c r="B662" s="0" t="s">
        <v>137</v>
      </c>
      <c r="C662" s="0" t="s">
        <v>138</v>
      </c>
      <c r="D662" s="0" t="s">
        <v>75</v>
      </c>
      <c r="E662" s="0" t="n">
        <v>285744</v>
      </c>
      <c r="F662" s="0" t="n">
        <v>23506</v>
      </c>
      <c r="G662" s="0" t="n">
        <v>21333</v>
      </c>
      <c r="H662" s="0" t="n">
        <v>22210</v>
      </c>
    </row>
    <row r="663" customFormat="false" ht="15" hidden="false" customHeight="false" outlineLevel="0" collapsed="false">
      <c r="A663" s="0" t="n">
        <v>2022</v>
      </c>
      <c r="B663" s="0" t="s">
        <v>142</v>
      </c>
      <c r="C663" s="0" t="s">
        <v>143</v>
      </c>
      <c r="D663" s="0" t="s">
        <v>74</v>
      </c>
      <c r="E663" s="0" t="n">
        <v>151083</v>
      </c>
      <c r="F663" s="0" t="n">
        <v>18281</v>
      </c>
      <c r="G663" s="0" t="n">
        <v>18754</v>
      </c>
      <c r="H663" s="0" t="n">
        <v>16020</v>
      </c>
    </row>
    <row r="664" customFormat="false" ht="15" hidden="false" customHeight="false" outlineLevel="0" collapsed="false">
      <c r="A664" s="0" t="n">
        <v>2022</v>
      </c>
      <c r="B664" s="0" t="s">
        <v>145</v>
      </c>
      <c r="C664" s="0" t="s">
        <v>146</v>
      </c>
      <c r="D664" s="0" t="s">
        <v>74</v>
      </c>
      <c r="E664" s="0" t="n">
        <v>526316</v>
      </c>
      <c r="F664" s="0" t="n">
        <v>18628</v>
      </c>
      <c r="G664" s="0" t="n">
        <v>17847</v>
      </c>
      <c r="H664" s="0" t="n">
        <v>17366</v>
      </c>
    </row>
    <row r="665" customFormat="false" ht="15" hidden="false" customHeight="false" outlineLevel="0" collapsed="false">
      <c r="A665" s="0" t="n">
        <v>2022</v>
      </c>
      <c r="B665" s="0" t="s">
        <v>152</v>
      </c>
      <c r="C665" s="0" t="s">
        <v>153</v>
      </c>
      <c r="D665" s="0" t="s">
        <v>74</v>
      </c>
      <c r="E665" s="0" t="n">
        <v>271662</v>
      </c>
      <c r="F665" s="0" t="n">
        <v>19580</v>
      </c>
      <c r="G665" s="0" t="n">
        <v>19750</v>
      </c>
      <c r="H665" s="0" t="n">
        <v>16792</v>
      </c>
    </row>
    <row r="666" customFormat="false" ht="15" hidden="false" customHeight="false" outlineLevel="0" collapsed="false">
      <c r="A666" s="0" t="n">
        <v>2022</v>
      </c>
      <c r="B666" s="0" t="s">
        <v>140</v>
      </c>
      <c r="C666" s="0" t="s">
        <v>141</v>
      </c>
      <c r="D666" s="0" t="s">
        <v>75</v>
      </c>
      <c r="E666" s="0" t="n">
        <v>150788</v>
      </c>
      <c r="F666" s="0" t="n">
        <v>17356</v>
      </c>
      <c r="G666" s="0" t="n">
        <v>18332</v>
      </c>
      <c r="H666" s="0" t="n">
        <v>15655</v>
      </c>
    </row>
    <row r="667" customFormat="false" ht="15" hidden="false" customHeight="false" outlineLevel="0" collapsed="false">
      <c r="A667" s="0" t="n">
        <v>2022</v>
      </c>
      <c r="B667" s="0" t="s">
        <v>163</v>
      </c>
      <c r="C667" s="0" t="s">
        <v>164</v>
      </c>
      <c r="D667" s="0" t="s">
        <v>72</v>
      </c>
      <c r="E667" s="0" t="n">
        <v>446699</v>
      </c>
      <c r="F667" s="0" t="n">
        <v>23960</v>
      </c>
      <c r="G667" s="0" t="n">
        <v>22285</v>
      </c>
      <c r="H667" s="0" t="n">
        <v>19068</v>
      </c>
    </row>
    <row r="668" customFormat="false" ht="15" hidden="false" customHeight="false" outlineLevel="0" collapsed="false">
      <c r="A668" s="0" t="n">
        <v>2022</v>
      </c>
      <c r="B668" s="0" t="s">
        <v>155</v>
      </c>
      <c r="C668" s="0" t="s">
        <v>156</v>
      </c>
      <c r="D668" s="0" t="s">
        <v>72</v>
      </c>
      <c r="E668" s="0" t="n">
        <v>434492</v>
      </c>
      <c r="F668" s="0" t="n">
        <v>25610</v>
      </c>
      <c r="G668" s="0" t="n">
        <v>24660</v>
      </c>
      <c r="H668" s="0" t="n">
        <v>19952</v>
      </c>
    </row>
    <row r="669" customFormat="false" ht="15" hidden="false" customHeight="false" outlineLevel="0" collapsed="false">
      <c r="A669" s="0" t="n">
        <v>2022</v>
      </c>
      <c r="B669" s="0" t="s">
        <v>159</v>
      </c>
      <c r="C669" s="0" t="s">
        <v>160</v>
      </c>
      <c r="D669" s="0" t="s">
        <v>72</v>
      </c>
      <c r="E669" s="0" t="n">
        <v>266602</v>
      </c>
      <c r="F669" s="0" t="n">
        <v>25149</v>
      </c>
      <c r="G669" s="0" t="n">
        <v>23994</v>
      </c>
      <c r="H669" s="0" t="n">
        <v>20124</v>
      </c>
    </row>
    <row r="670" customFormat="false" ht="15" hidden="false" customHeight="false" outlineLevel="0" collapsed="false">
      <c r="A670" s="0" t="n">
        <v>2022</v>
      </c>
      <c r="B670" s="0" t="s">
        <v>157</v>
      </c>
      <c r="C670" s="0" t="s">
        <v>158</v>
      </c>
      <c r="D670" s="0" t="s">
        <v>74</v>
      </c>
      <c r="E670" s="0" t="n">
        <v>432236</v>
      </c>
      <c r="F670" s="0" t="n">
        <v>16683</v>
      </c>
      <c r="G670" s="0" t="n">
        <v>15980</v>
      </c>
      <c r="H670" s="0" t="n">
        <v>15830</v>
      </c>
    </row>
    <row r="671" customFormat="false" ht="15" hidden="false" customHeight="false" outlineLevel="0" collapsed="false">
      <c r="A671" s="0" t="n">
        <v>2022</v>
      </c>
      <c r="B671" s="0" t="s">
        <v>147</v>
      </c>
      <c r="C671" s="0" t="s">
        <v>148</v>
      </c>
      <c r="D671" s="0" t="s">
        <v>75</v>
      </c>
      <c r="E671" s="0" t="n">
        <v>613793</v>
      </c>
      <c r="F671" s="0" t="n">
        <v>19267</v>
      </c>
      <c r="G671" s="0" t="n">
        <v>18512</v>
      </c>
      <c r="H671" s="0" t="n">
        <v>17563</v>
      </c>
    </row>
    <row r="672" customFormat="false" ht="15" hidden="false" customHeight="false" outlineLevel="0" collapsed="false">
      <c r="A672" s="0" t="n">
        <v>2022</v>
      </c>
      <c r="B672" s="0" t="s">
        <v>149</v>
      </c>
      <c r="C672" s="0" t="s">
        <v>150</v>
      </c>
      <c r="D672" s="0" t="s">
        <v>74</v>
      </c>
      <c r="E672" s="0" t="n">
        <v>218155</v>
      </c>
      <c r="F672" s="0" t="n">
        <v>18147</v>
      </c>
      <c r="G672" s="0" t="n">
        <v>17603</v>
      </c>
      <c r="H672" s="0" t="n">
        <v>16600</v>
      </c>
    </row>
    <row r="673" customFormat="false" ht="15" hidden="false" customHeight="false" outlineLevel="0" collapsed="false">
      <c r="A673" s="0" t="n">
        <v>2022</v>
      </c>
      <c r="B673" s="0" t="s">
        <v>165</v>
      </c>
      <c r="C673" s="0" t="s">
        <v>166</v>
      </c>
      <c r="D673" s="0" t="s">
        <v>75</v>
      </c>
      <c r="E673" s="0" t="n">
        <v>98774</v>
      </c>
      <c r="F673" s="0" t="n">
        <v>16797</v>
      </c>
      <c r="G673" s="0" t="n">
        <v>17774</v>
      </c>
      <c r="H673" s="0" t="n">
        <v>14772</v>
      </c>
    </row>
    <row r="674" customFormat="false" ht="15" hidden="false" customHeight="false" outlineLevel="0" collapsed="false">
      <c r="A674" s="0" t="n">
        <v>2022</v>
      </c>
      <c r="B674" s="0" t="s">
        <v>175</v>
      </c>
      <c r="C674" s="0" t="s">
        <v>176</v>
      </c>
      <c r="D674" s="0" t="s">
        <v>72</v>
      </c>
      <c r="E674" s="0" t="n">
        <v>310654</v>
      </c>
      <c r="F674" s="0" t="n">
        <v>23584</v>
      </c>
      <c r="G674" s="0" t="n">
        <v>21532</v>
      </c>
      <c r="H674" s="0" t="n">
        <v>18881</v>
      </c>
    </row>
    <row r="675" customFormat="false" ht="15" hidden="false" customHeight="false" outlineLevel="0" collapsed="false">
      <c r="A675" s="0" t="n">
        <v>2022</v>
      </c>
      <c r="B675" s="0" t="s">
        <v>169</v>
      </c>
      <c r="C675" s="0" t="s">
        <v>170</v>
      </c>
      <c r="D675" s="0" t="s">
        <v>72</v>
      </c>
      <c r="E675" s="0" t="n">
        <v>272198</v>
      </c>
      <c r="F675" s="0" t="n">
        <v>23281</v>
      </c>
      <c r="G675" s="0" t="n">
        <v>21746</v>
      </c>
      <c r="H675" s="0" t="n">
        <v>19528</v>
      </c>
    </row>
    <row r="676" customFormat="false" ht="15" hidden="false" customHeight="false" outlineLevel="0" collapsed="false">
      <c r="A676" s="0" t="n">
        <v>2022</v>
      </c>
      <c r="B676" s="0" t="s">
        <v>173</v>
      </c>
      <c r="C676" s="0" t="s">
        <v>174</v>
      </c>
      <c r="D676" s="0" t="s">
        <v>74</v>
      </c>
      <c r="E676" s="0" t="n">
        <v>387554</v>
      </c>
      <c r="F676" s="0" t="n">
        <v>17027</v>
      </c>
      <c r="G676" s="0" t="n">
        <v>16392</v>
      </c>
      <c r="H676" s="0" t="n">
        <v>16159</v>
      </c>
    </row>
    <row r="677" customFormat="false" ht="15" hidden="false" customHeight="false" outlineLevel="0" collapsed="false">
      <c r="A677" s="0" t="n">
        <v>2022</v>
      </c>
      <c r="B677" s="0" t="s">
        <v>171</v>
      </c>
      <c r="C677" s="0" t="s">
        <v>172</v>
      </c>
      <c r="D677" s="0" t="s">
        <v>73</v>
      </c>
      <c r="E677" s="0" t="n">
        <v>757048</v>
      </c>
      <c r="F677" s="0" t="n">
        <v>26290</v>
      </c>
      <c r="G677" s="0" t="n">
        <v>23343</v>
      </c>
      <c r="H677" s="0" t="n">
        <v>21353</v>
      </c>
    </row>
    <row r="678" customFormat="false" ht="15" hidden="false" customHeight="false" outlineLevel="0" collapsed="false">
      <c r="A678" s="0" t="n">
        <v>2022</v>
      </c>
      <c r="B678" s="0" t="s">
        <v>167</v>
      </c>
      <c r="C678" s="0" t="s">
        <v>168</v>
      </c>
      <c r="D678" s="0" t="s">
        <v>73</v>
      </c>
      <c r="E678" s="0" t="n">
        <v>126416</v>
      </c>
      <c r="F678" s="0" t="n">
        <v>20634</v>
      </c>
      <c r="G678" s="0" t="n">
        <v>18837</v>
      </c>
      <c r="H678" s="0" t="n">
        <v>16299</v>
      </c>
    </row>
    <row r="679" customFormat="false" ht="15" hidden="false" customHeight="false" outlineLevel="0" collapsed="false">
      <c r="A679" s="0" t="n">
        <v>2022</v>
      </c>
      <c r="B679" s="0" t="s">
        <v>177</v>
      </c>
      <c r="C679" s="0" t="s">
        <v>178</v>
      </c>
      <c r="D679" s="0" t="s">
        <v>73</v>
      </c>
      <c r="E679" s="0" t="n">
        <v>314132</v>
      </c>
      <c r="F679" s="0" t="n">
        <v>19785</v>
      </c>
      <c r="G679" s="0" t="n">
        <v>20032</v>
      </c>
      <c r="H679" s="0" t="n">
        <v>17408</v>
      </c>
    </row>
    <row r="680" customFormat="false" ht="15" hidden="false" customHeight="false" outlineLevel="0" collapsed="false">
      <c r="A680" s="0" t="n">
        <v>2022</v>
      </c>
      <c r="B680" s="0" t="s">
        <v>180</v>
      </c>
      <c r="C680" s="0" t="s">
        <v>181</v>
      </c>
      <c r="D680" s="0" t="s">
        <v>72</v>
      </c>
      <c r="E680" s="0" t="n">
        <v>659768</v>
      </c>
      <c r="F680" s="0" t="n">
        <v>25651</v>
      </c>
      <c r="G680" s="0" t="n">
        <v>22926</v>
      </c>
      <c r="H680" s="0" t="n">
        <v>22324</v>
      </c>
    </row>
    <row r="681" customFormat="false" ht="15" hidden="false" customHeight="false" outlineLevel="0" collapsed="false">
      <c r="A681" s="0" t="n">
        <v>2022</v>
      </c>
      <c r="B681" s="0" t="s">
        <v>183</v>
      </c>
      <c r="C681" s="0" t="s">
        <v>184</v>
      </c>
      <c r="D681" s="0" t="s">
        <v>72</v>
      </c>
      <c r="E681" s="0" t="n">
        <v>109738</v>
      </c>
      <c r="F681" s="0" t="n">
        <v>22967</v>
      </c>
      <c r="G681" s="0" t="n">
        <v>21517</v>
      </c>
      <c r="H681" s="0" t="n">
        <v>20637</v>
      </c>
    </row>
    <row r="682" customFormat="false" ht="15" hidden="false" customHeight="false" outlineLevel="0" collapsed="false">
      <c r="A682" s="0" t="n">
        <v>2022</v>
      </c>
      <c r="B682" s="0" t="s">
        <v>186</v>
      </c>
      <c r="C682" s="0" t="s">
        <v>187</v>
      </c>
      <c r="D682" s="0" t="s">
        <v>73</v>
      </c>
      <c r="E682" s="0" t="n">
        <v>167014</v>
      </c>
      <c r="F682" s="0" t="n">
        <v>21708</v>
      </c>
      <c r="G682" s="0" t="n">
        <v>19648</v>
      </c>
      <c r="H682" s="0" t="n">
        <v>19308</v>
      </c>
    </row>
    <row r="683" customFormat="false" ht="15" hidden="false" customHeight="false" outlineLevel="0" collapsed="false">
      <c r="A683" s="0" t="n">
        <v>2022</v>
      </c>
      <c r="B683" s="0" t="s">
        <v>188</v>
      </c>
      <c r="C683" s="0" t="s">
        <v>189</v>
      </c>
      <c r="D683" s="0" t="s">
        <v>72</v>
      </c>
      <c r="E683" s="0" t="n">
        <v>153525</v>
      </c>
      <c r="F683" s="0" t="n">
        <v>21109</v>
      </c>
      <c r="G683" s="0" t="n">
        <v>18494</v>
      </c>
      <c r="H683" s="0" t="n">
        <v>17931</v>
      </c>
    </row>
    <row r="684" customFormat="false" ht="15" hidden="false" customHeight="false" outlineLevel="0" collapsed="false">
      <c r="A684" s="0" t="n">
        <v>2022</v>
      </c>
      <c r="B684" s="0" t="s">
        <v>190</v>
      </c>
      <c r="C684" s="0" t="s">
        <v>191</v>
      </c>
      <c r="D684" s="0" t="s">
        <v>74</v>
      </c>
      <c r="E684" s="0" t="n">
        <v>58870</v>
      </c>
      <c r="F684" s="0" t="n">
        <v>18250</v>
      </c>
      <c r="G684" s="0" t="n">
        <v>18699</v>
      </c>
      <c r="H684" s="0" t="n">
        <v>16050</v>
      </c>
    </row>
    <row r="685" customFormat="false" ht="15" hidden="false" customHeight="false" outlineLevel="0" collapsed="false">
      <c r="A685" s="0" t="n">
        <v>2022</v>
      </c>
      <c r="B685" s="0" t="s">
        <v>161</v>
      </c>
      <c r="C685" s="0" t="s">
        <v>162</v>
      </c>
      <c r="D685" s="0" t="s">
        <v>74</v>
      </c>
      <c r="E685" s="0" t="n">
        <v>94104</v>
      </c>
      <c r="F685" s="0" t="n">
        <v>16171</v>
      </c>
      <c r="G685" s="0" t="n">
        <v>15668</v>
      </c>
      <c r="H685" s="0" t="n">
        <v>14907</v>
      </c>
    </row>
    <row r="686" customFormat="false" ht="15" hidden="false" customHeight="false" outlineLevel="0" collapsed="false">
      <c r="A686" s="0" t="n">
        <v>2022</v>
      </c>
      <c r="B686" s="0" t="s">
        <v>200</v>
      </c>
      <c r="C686" s="0" t="s">
        <v>201</v>
      </c>
      <c r="D686" s="0" t="s">
        <v>72</v>
      </c>
      <c r="E686" s="0" t="n">
        <v>253968</v>
      </c>
      <c r="F686" s="0" t="n">
        <v>27623</v>
      </c>
      <c r="G686" s="0" t="n">
        <v>26419</v>
      </c>
      <c r="H686" s="0" t="n">
        <v>21232</v>
      </c>
    </row>
    <row r="687" customFormat="false" ht="15" hidden="false" customHeight="false" outlineLevel="0" collapsed="false">
      <c r="A687" s="0" t="n">
        <v>2022</v>
      </c>
      <c r="B687" s="0" t="s">
        <v>198</v>
      </c>
      <c r="C687" s="0" t="s">
        <v>199</v>
      </c>
      <c r="D687" s="0" t="s">
        <v>74</v>
      </c>
      <c r="E687" s="0" t="n">
        <v>528606</v>
      </c>
      <c r="F687" s="0" t="n">
        <v>17869</v>
      </c>
      <c r="G687" s="0" t="n">
        <v>17249</v>
      </c>
      <c r="H687" s="0" t="n">
        <v>16056</v>
      </c>
    </row>
    <row r="688" customFormat="false" ht="15" hidden="false" customHeight="false" outlineLevel="0" collapsed="false">
      <c r="A688" s="0" t="n">
        <v>2022</v>
      </c>
      <c r="B688" s="0" t="s">
        <v>202</v>
      </c>
      <c r="C688" s="0" t="s">
        <v>203</v>
      </c>
      <c r="D688" s="0" t="s">
        <v>73</v>
      </c>
      <c r="E688" s="0" t="n">
        <v>247008</v>
      </c>
      <c r="F688" s="0" t="n">
        <v>23707</v>
      </c>
      <c r="G688" s="0" t="n">
        <v>21362</v>
      </c>
      <c r="H688" s="0" t="n">
        <v>21242</v>
      </c>
    </row>
    <row r="689" customFormat="false" ht="15" hidden="false" customHeight="false" outlineLevel="0" collapsed="false">
      <c r="A689" s="0" t="n">
        <v>2022</v>
      </c>
      <c r="B689" s="0" t="s">
        <v>204</v>
      </c>
      <c r="C689" s="0" t="s">
        <v>205</v>
      </c>
      <c r="D689" s="0" t="s">
        <v>72</v>
      </c>
      <c r="E689" s="0" t="n">
        <v>168494</v>
      </c>
      <c r="F689" s="0" t="n">
        <v>25523</v>
      </c>
      <c r="G689" s="0" t="n">
        <v>24702</v>
      </c>
      <c r="H689" s="0" t="n">
        <v>21093</v>
      </c>
    </row>
    <row r="690" customFormat="false" ht="15" hidden="false" customHeight="false" outlineLevel="0" collapsed="false">
      <c r="A690" s="0" t="n">
        <v>2022</v>
      </c>
      <c r="B690" s="0" t="s">
        <v>196</v>
      </c>
      <c r="C690" s="0" t="s">
        <v>197</v>
      </c>
      <c r="D690" s="0" t="s">
        <v>73</v>
      </c>
      <c r="E690" s="0" t="n">
        <v>388881</v>
      </c>
      <c r="F690" s="0" t="n">
        <v>20026</v>
      </c>
      <c r="G690" s="0" t="n">
        <v>19307</v>
      </c>
      <c r="H690" s="0" t="n">
        <v>18191</v>
      </c>
    </row>
    <row r="691" customFormat="false" ht="15" hidden="false" customHeight="false" outlineLevel="0" collapsed="false">
      <c r="A691" s="0" t="n">
        <v>2022</v>
      </c>
      <c r="B691" s="0" t="s">
        <v>206</v>
      </c>
      <c r="C691" s="0" t="s">
        <v>207</v>
      </c>
      <c r="D691" s="0" t="s">
        <v>73</v>
      </c>
      <c r="E691" s="0" t="n">
        <v>285977</v>
      </c>
      <c r="F691" s="0" t="n">
        <v>24400</v>
      </c>
      <c r="G691" s="0" t="n">
        <v>22191</v>
      </c>
      <c r="H691" s="0" t="n">
        <v>19242</v>
      </c>
    </row>
    <row r="692" customFormat="false" ht="15" hidden="false" customHeight="false" outlineLevel="0" collapsed="false">
      <c r="A692" s="0" t="n">
        <v>2022</v>
      </c>
      <c r="B692" s="0" t="s">
        <v>222</v>
      </c>
      <c r="C692" s="0" t="s">
        <v>223</v>
      </c>
      <c r="D692" s="0" t="s">
        <v>72</v>
      </c>
      <c r="E692" s="0" t="n">
        <v>652766</v>
      </c>
      <c r="F692" s="0" t="n">
        <v>28191</v>
      </c>
      <c r="G692" s="0" t="n">
        <v>27601</v>
      </c>
      <c r="H692" s="0" t="n">
        <v>21899</v>
      </c>
    </row>
    <row r="693" customFormat="false" ht="15" hidden="false" customHeight="false" outlineLevel="0" collapsed="false">
      <c r="A693" s="0" t="n">
        <v>2022</v>
      </c>
      <c r="B693" s="0" t="s">
        <v>208</v>
      </c>
      <c r="C693" s="0" t="s">
        <v>209</v>
      </c>
      <c r="D693" s="0" t="s">
        <v>73</v>
      </c>
      <c r="E693" s="0" t="n">
        <v>231887</v>
      </c>
      <c r="F693" s="0" t="n">
        <v>22078</v>
      </c>
      <c r="G693" s="0" t="n">
        <v>19994</v>
      </c>
      <c r="H693" s="0" t="n">
        <v>17994</v>
      </c>
    </row>
    <row r="694" customFormat="false" ht="15" hidden="false" customHeight="false" outlineLevel="0" collapsed="false">
      <c r="A694" s="0" t="n">
        <v>2022</v>
      </c>
      <c r="B694" s="0" t="s">
        <v>217</v>
      </c>
      <c r="C694" s="0" t="s">
        <v>218</v>
      </c>
      <c r="D694" s="0" t="s">
        <v>75</v>
      </c>
      <c r="E694" s="0" t="n">
        <v>389451</v>
      </c>
      <c r="F694" s="0" t="n">
        <v>19023</v>
      </c>
      <c r="G694" s="0" t="n">
        <v>18115</v>
      </c>
      <c r="H694" s="0" t="n">
        <v>17814</v>
      </c>
    </row>
    <row r="695" customFormat="false" ht="15" hidden="false" customHeight="false" outlineLevel="0" collapsed="false">
      <c r="A695" s="0" t="n">
        <v>2022</v>
      </c>
      <c r="B695" s="0" t="s">
        <v>219</v>
      </c>
      <c r="C695" s="0" t="s">
        <v>50</v>
      </c>
      <c r="D695" s="0" t="s">
        <v>72</v>
      </c>
      <c r="E695" s="0" t="n">
        <v>2429922</v>
      </c>
      <c r="F695" s="0" t="n">
        <v>32292</v>
      </c>
      <c r="G695" s="0" t="n">
        <v>30597</v>
      </c>
      <c r="H695" s="0" t="n">
        <v>24129</v>
      </c>
    </row>
    <row r="696" customFormat="false" ht="15" hidden="false" customHeight="false" outlineLevel="0" collapsed="false">
      <c r="A696" s="0" t="n">
        <v>2022</v>
      </c>
      <c r="B696" s="0" t="s">
        <v>210</v>
      </c>
      <c r="C696" s="0" t="s">
        <v>211</v>
      </c>
      <c r="D696" s="0" t="s">
        <v>72</v>
      </c>
      <c r="E696" s="0" t="n">
        <v>305093</v>
      </c>
      <c r="F696" s="0" t="n">
        <v>24143</v>
      </c>
      <c r="G696" s="0" t="n">
        <v>22793</v>
      </c>
      <c r="H696" s="0" t="n">
        <v>19100</v>
      </c>
    </row>
    <row r="697" customFormat="false" ht="15" hidden="false" customHeight="false" outlineLevel="0" collapsed="false">
      <c r="A697" s="0" t="n">
        <v>2022</v>
      </c>
      <c r="B697" s="0" t="s">
        <v>220</v>
      </c>
      <c r="C697" s="0" t="s">
        <v>221</v>
      </c>
      <c r="D697" s="0" t="s">
        <v>72</v>
      </c>
      <c r="E697" s="0" t="n">
        <v>542071</v>
      </c>
      <c r="F697" s="0" t="n">
        <v>26658</v>
      </c>
      <c r="G697" s="0" t="n">
        <v>25024</v>
      </c>
      <c r="H697" s="0" t="n">
        <v>20858</v>
      </c>
    </row>
    <row r="698" customFormat="false" ht="15" hidden="false" customHeight="false" outlineLevel="0" collapsed="false">
      <c r="A698" s="0" t="n">
        <v>2022</v>
      </c>
      <c r="B698" s="0" t="s">
        <v>212</v>
      </c>
      <c r="C698" s="0" t="s">
        <v>213</v>
      </c>
      <c r="D698" s="0" t="s">
        <v>73</v>
      </c>
      <c r="E698" s="0" t="n">
        <v>138895</v>
      </c>
      <c r="F698" s="0" t="n">
        <v>22643</v>
      </c>
      <c r="G698" s="0" t="n">
        <v>21276</v>
      </c>
      <c r="H698" s="0" t="n">
        <v>19545</v>
      </c>
    </row>
    <row r="699" customFormat="false" ht="15" hidden="false" customHeight="false" outlineLevel="0" collapsed="false">
      <c r="A699" s="0" t="n">
        <v>2022</v>
      </c>
      <c r="B699" s="0" t="s">
        <v>214</v>
      </c>
      <c r="C699" s="0" t="s">
        <v>215</v>
      </c>
      <c r="D699" s="0" t="s">
        <v>74</v>
      </c>
      <c r="E699" s="0" t="n">
        <v>133309</v>
      </c>
      <c r="F699" s="0" t="n">
        <v>18206</v>
      </c>
      <c r="G699" s="0" t="n">
        <v>17480</v>
      </c>
      <c r="H699" s="0" t="n">
        <v>16847</v>
      </c>
    </row>
    <row r="700" customFormat="false" ht="15" hidden="false" customHeight="false" outlineLevel="0" collapsed="false">
      <c r="A700" s="0" t="n">
        <v>2022</v>
      </c>
      <c r="B700" s="0" t="s">
        <v>224</v>
      </c>
      <c r="C700" s="0" t="s">
        <v>51</v>
      </c>
      <c r="D700" s="0" t="s">
        <v>74</v>
      </c>
      <c r="E700" s="0" t="n">
        <v>1624469</v>
      </c>
      <c r="F700" s="0" t="n">
        <v>20439</v>
      </c>
      <c r="G700" s="0" t="n">
        <v>18842</v>
      </c>
      <c r="H700" s="0" t="n">
        <v>18821</v>
      </c>
    </row>
    <row r="701" customFormat="false" ht="15" hidden="false" customHeight="false" outlineLevel="0" collapsed="false">
      <c r="A701" s="0" t="n">
        <v>2022</v>
      </c>
      <c r="B701" s="0" t="s">
        <v>225</v>
      </c>
      <c r="C701" s="0" t="s">
        <v>226</v>
      </c>
      <c r="D701" s="0" t="s">
        <v>72</v>
      </c>
      <c r="E701" s="0" t="n">
        <v>272105</v>
      </c>
      <c r="F701" s="0" t="n">
        <v>25957</v>
      </c>
      <c r="G701" s="0" t="n">
        <v>24593</v>
      </c>
      <c r="H701" s="0" t="n">
        <v>21102</v>
      </c>
    </row>
    <row r="702" customFormat="false" ht="15" hidden="false" customHeight="false" outlineLevel="0" collapsed="false">
      <c r="A702" s="0" t="n">
        <v>2022</v>
      </c>
      <c r="B702" s="0" t="s">
        <v>227</v>
      </c>
      <c r="C702" s="0" t="s">
        <v>228</v>
      </c>
      <c r="D702" s="0" t="s">
        <v>75</v>
      </c>
      <c r="E702" s="0" t="n">
        <v>140384</v>
      </c>
      <c r="F702" s="0" t="n">
        <v>17723</v>
      </c>
      <c r="G702" s="0" t="n">
        <v>17163</v>
      </c>
      <c r="H702" s="0" t="n">
        <v>16515</v>
      </c>
    </row>
    <row r="703" customFormat="false" ht="15" hidden="false" customHeight="false" outlineLevel="0" collapsed="false">
      <c r="A703" s="0" t="n">
        <v>2022</v>
      </c>
      <c r="B703" s="0" t="s">
        <v>229</v>
      </c>
      <c r="C703" s="0" t="s">
        <v>230</v>
      </c>
      <c r="D703" s="0" t="s">
        <v>75</v>
      </c>
      <c r="E703" s="0" t="n">
        <v>104963</v>
      </c>
      <c r="F703" s="0" t="n">
        <v>18035</v>
      </c>
      <c r="G703" s="0" t="n">
        <v>17661</v>
      </c>
      <c r="H703" s="0" t="n">
        <v>16443</v>
      </c>
    </row>
    <row r="704" customFormat="false" ht="15" hidden="false" customHeight="false" outlineLevel="0" collapsed="false">
      <c r="A704" s="0" t="n">
        <v>2022</v>
      </c>
      <c r="B704" s="0" t="s">
        <v>233</v>
      </c>
      <c r="C704" s="0" t="s">
        <v>234</v>
      </c>
      <c r="D704" s="0" t="s">
        <v>75</v>
      </c>
      <c r="E704" s="0" t="n">
        <v>693290</v>
      </c>
      <c r="F704" s="0" t="n">
        <v>20000</v>
      </c>
      <c r="G704" s="0" t="n">
        <v>18739</v>
      </c>
      <c r="H704" s="0" t="n">
        <v>19100</v>
      </c>
    </row>
    <row r="705" customFormat="false" ht="15" hidden="false" customHeight="false" outlineLevel="0" collapsed="false">
      <c r="A705" s="0" t="n">
        <v>2022</v>
      </c>
      <c r="B705" s="0" t="s">
        <v>246</v>
      </c>
      <c r="C705" s="0" t="s">
        <v>247</v>
      </c>
      <c r="D705" s="0" t="s">
        <v>72</v>
      </c>
      <c r="E705" s="0" t="n">
        <v>220613</v>
      </c>
      <c r="F705" s="0" t="n">
        <v>25641</v>
      </c>
      <c r="G705" s="0" t="n">
        <v>23721</v>
      </c>
      <c r="H705" s="0" t="n">
        <v>20532</v>
      </c>
    </row>
    <row r="706" customFormat="false" ht="15" hidden="false" customHeight="false" outlineLevel="0" collapsed="false">
      <c r="A706" s="0" t="n">
        <v>2022</v>
      </c>
      <c r="B706" s="0" t="s">
        <v>231</v>
      </c>
      <c r="C706" s="0" t="s">
        <v>232</v>
      </c>
      <c r="D706" s="0" t="s">
        <v>72</v>
      </c>
      <c r="E706" s="0" t="n">
        <v>700141</v>
      </c>
      <c r="F706" s="0" t="n">
        <v>26017</v>
      </c>
      <c r="G706" s="0" t="n">
        <v>24146</v>
      </c>
      <c r="H706" s="0" t="n">
        <v>20057</v>
      </c>
    </row>
    <row r="707" customFormat="false" ht="15" hidden="false" customHeight="false" outlineLevel="0" collapsed="false">
      <c r="A707" s="0" t="n">
        <v>2022</v>
      </c>
      <c r="B707" s="0" t="s">
        <v>244</v>
      </c>
      <c r="C707" s="0" t="s">
        <v>245</v>
      </c>
      <c r="D707" s="0" t="s">
        <v>74</v>
      </c>
      <c r="E707" s="0" t="n">
        <v>222104</v>
      </c>
      <c r="F707" s="0" t="n">
        <v>21249</v>
      </c>
      <c r="G707" s="0" t="n">
        <v>20392</v>
      </c>
      <c r="H707" s="0" t="n">
        <v>18390</v>
      </c>
    </row>
    <row r="708" customFormat="false" ht="15" hidden="false" customHeight="false" outlineLevel="0" collapsed="false">
      <c r="A708" s="0" t="n">
        <v>2022</v>
      </c>
      <c r="B708" s="0" t="s">
        <v>239</v>
      </c>
      <c r="C708" s="0" t="s">
        <v>240</v>
      </c>
      <c r="D708" s="0" t="s">
        <v>73</v>
      </c>
      <c r="E708" s="0" t="n">
        <v>493268</v>
      </c>
      <c r="F708" s="0" t="n">
        <v>21707</v>
      </c>
      <c r="G708" s="0" t="n">
        <v>19657</v>
      </c>
      <c r="H708" s="0" t="n">
        <v>18949</v>
      </c>
    </row>
    <row r="709" customFormat="false" ht="15" hidden="false" customHeight="false" outlineLevel="0" collapsed="false">
      <c r="A709" s="0" t="n">
        <v>2022</v>
      </c>
      <c r="B709" s="0" t="s">
        <v>248</v>
      </c>
      <c r="C709" s="0" t="s">
        <v>249</v>
      </c>
      <c r="D709" s="0" t="s">
        <v>73</v>
      </c>
      <c r="E709" s="0" t="n">
        <v>309621</v>
      </c>
      <c r="F709" s="0" t="n">
        <v>24749</v>
      </c>
      <c r="G709" s="0" t="n">
        <v>22935</v>
      </c>
      <c r="H709" s="0" t="n">
        <v>20507</v>
      </c>
    </row>
    <row r="710" customFormat="false" ht="15" hidden="false" customHeight="false" outlineLevel="0" collapsed="false">
      <c r="A710" s="0" t="n">
        <v>2022</v>
      </c>
      <c r="B710" s="0" t="s">
        <v>252</v>
      </c>
      <c r="C710" s="0" t="s">
        <v>253</v>
      </c>
      <c r="D710" s="0" t="s">
        <v>72</v>
      </c>
      <c r="E710" s="0" t="n">
        <v>240826</v>
      </c>
      <c r="F710" s="0" t="n">
        <v>24578</v>
      </c>
      <c r="G710" s="0" t="n">
        <v>23086</v>
      </c>
      <c r="H710" s="0" t="n">
        <v>19605</v>
      </c>
    </row>
    <row r="711" customFormat="false" ht="15" hidden="false" customHeight="false" outlineLevel="0" collapsed="false">
      <c r="A711" s="0" t="n">
        <v>2022</v>
      </c>
      <c r="B711" s="0" t="s">
        <v>256</v>
      </c>
      <c r="C711" s="0" t="s">
        <v>257</v>
      </c>
      <c r="D711" s="0" t="s">
        <v>73</v>
      </c>
      <c r="E711" s="0" t="n">
        <v>198986</v>
      </c>
      <c r="F711" s="0" t="n">
        <v>23265</v>
      </c>
      <c r="G711" s="0" t="n">
        <v>20188</v>
      </c>
      <c r="H711" s="0" t="n">
        <v>19086</v>
      </c>
    </row>
    <row r="712" customFormat="false" ht="15" hidden="false" customHeight="false" outlineLevel="0" collapsed="false">
      <c r="A712" s="0" t="n">
        <v>2022</v>
      </c>
      <c r="B712" s="0" t="s">
        <v>235</v>
      </c>
      <c r="C712" s="0" t="s">
        <v>236</v>
      </c>
      <c r="D712" s="0" t="s">
        <v>72</v>
      </c>
      <c r="E712" s="0" t="n">
        <v>345599</v>
      </c>
      <c r="F712" s="0" t="n">
        <v>27577</v>
      </c>
      <c r="G712" s="0" t="n">
        <v>25627</v>
      </c>
      <c r="H712" s="0" t="n">
        <v>21591</v>
      </c>
    </row>
    <row r="713" customFormat="false" ht="15" hidden="false" customHeight="false" outlineLevel="0" collapsed="false">
      <c r="A713" s="0" t="n">
        <v>2022</v>
      </c>
      <c r="B713" s="0" t="s">
        <v>250</v>
      </c>
      <c r="C713" s="0" t="s">
        <v>251</v>
      </c>
      <c r="D713" s="0" t="s">
        <v>73</v>
      </c>
      <c r="E713" s="0" t="n">
        <v>214150</v>
      </c>
      <c r="F713" s="0" t="n">
        <v>22372</v>
      </c>
      <c r="G713" s="0" t="n">
        <v>21191</v>
      </c>
      <c r="H713" s="0" t="n">
        <v>18326</v>
      </c>
    </row>
    <row r="714" customFormat="false" ht="15" hidden="false" customHeight="false" outlineLevel="0" collapsed="false">
      <c r="A714" s="0" t="n">
        <v>2022</v>
      </c>
      <c r="B714" s="0" t="s">
        <v>242</v>
      </c>
      <c r="C714" s="0" t="s">
        <v>243</v>
      </c>
      <c r="D714" s="0" t="s">
        <v>73</v>
      </c>
      <c r="E714" s="0" t="n">
        <v>269675</v>
      </c>
      <c r="F714" s="0" t="n">
        <v>22518</v>
      </c>
      <c r="G714" s="0" t="n">
        <v>20952</v>
      </c>
      <c r="H714" s="0" t="n">
        <v>18146</v>
      </c>
    </row>
    <row r="715" customFormat="false" ht="15" hidden="false" customHeight="false" outlineLevel="0" collapsed="false">
      <c r="A715" s="0" t="n">
        <v>2022</v>
      </c>
      <c r="B715" s="0" t="s">
        <v>237</v>
      </c>
      <c r="C715" s="0" t="s">
        <v>238</v>
      </c>
      <c r="D715" s="0" t="s">
        <v>72</v>
      </c>
      <c r="E715" s="0" t="n">
        <v>403145</v>
      </c>
      <c r="F715" s="0" t="n">
        <v>24963</v>
      </c>
      <c r="G715" s="0" t="n">
        <v>23806</v>
      </c>
      <c r="H715" s="0" t="n">
        <v>20544</v>
      </c>
    </row>
    <row r="716" customFormat="false" ht="15" hidden="false" customHeight="false" outlineLevel="0" collapsed="false">
      <c r="A716" s="0" t="n">
        <v>2022</v>
      </c>
      <c r="B716" s="0" t="s">
        <v>254</v>
      </c>
      <c r="C716" s="0" t="s">
        <v>255</v>
      </c>
      <c r="D716" s="0" t="s">
        <v>74</v>
      </c>
      <c r="E716" s="0" t="n">
        <v>241660</v>
      </c>
      <c r="F716" s="0" t="n">
        <v>18537</v>
      </c>
      <c r="G716" s="0" t="n">
        <v>18941</v>
      </c>
      <c r="H716" s="0" t="n">
        <v>15830</v>
      </c>
    </row>
    <row r="717" customFormat="false" ht="15" hidden="false" customHeight="false" outlineLevel="0" collapsed="false">
      <c r="A717" s="0" t="n">
        <v>2022</v>
      </c>
      <c r="B717" s="0" t="s">
        <v>260</v>
      </c>
      <c r="C717" s="0" t="s">
        <v>261</v>
      </c>
      <c r="D717" s="0" t="s">
        <v>72</v>
      </c>
      <c r="E717" s="0" t="n">
        <v>308116</v>
      </c>
      <c r="F717" s="0" t="n">
        <v>24103</v>
      </c>
      <c r="G717" s="0" t="n">
        <v>22003</v>
      </c>
      <c r="H717" s="0" t="n">
        <v>20060</v>
      </c>
    </row>
    <row r="718" customFormat="false" ht="15" hidden="false" customHeight="false" outlineLevel="0" collapsed="false">
      <c r="A718" s="0" t="n">
        <v>2022</v>
      </c>
      <c r="B718" s="0" t="s">
        <v>262</v>
      </c>
      <c r="C718" s="0" t="s">
        <v>263</v>
      </c>
      <c r="D718" s="0" t="s">
        <v>74</v>
      </c>
      <c r="E718" s="0" t="n">
        <v>326820</v>
      </c>
      <c r="F718" s="0" t="n">
        <v>17487</v>
      </c>
      <c r="G718" s="0" t="n">
        <v>16459</v>
      </c>
      <c r="H718" s="0" t="n">
        <v>16392</v>
      </c>
    </row>
    <row r="719" customFormat="false" ht="15" hidden="false" customHeight="false" outlineLevel="0" collapsed="false">
      <c r="A719" s="0" t="n">
        <v>2022</v>
      </c>
      <c r="B719" s="0" t="s">
        <v>264</v>
      </c>
      <c r="C719" s="0" t="s">
        <v>265</v>
      </c>
      <c r="D719" s="0" t="s">
        <v>72</v>
      </c>
      <c r="E719" s="0" t="n">
        <v>398323</v>
      </c>
      <c r="F719" s="0" t="n">
        <v>26341</v>
      </c>
      <c r="G719" s="0" t="n">
        <v>24534</v>
      </c>
      <c r="H719" s="0" t="n">
        <v>20887</v>
      </c>
    </row>
    <row r="720" customFormat="false" ht="15" hidden="false" customHeight="false" outlineLevel="0" collapsed="false">
      <c r="A720" s="0" t="n">
        <v>2022</v>
      </c>
      <c r="B720" s="0" t="s">
        <v>258</v>
      </c>
      <c r="C720" s="0" t="s">
        <v>259</v>
      </c>
      <c r="D720" s="0" t="s">
        <v>75</v>
      </c>
      <c r="E720" s="0" t="n">
        <v>206912</v>
      </c>
      <c r="F720" s="0" t="n">
        <v>16706</v>
      </c>
      <c r="G720" s="0" t="n">
        <v>15849</v>
      </c>
      <c r="H720" s="0" t="n">
        <v>15991</v>
      </c>
    </row>
    <row r="721" customFormat="false" ht="15" hidden="false" customHeight="false" outlineLevel="0" collapsed="false">
      <c r="A721" s="0" t="n">
        <v>2022</v>
      </c>
      <c r="B721" s="0" t="s">
        <v>266</v>
      </c>
      <c r="C721" s="0" t="s">
        <v>267</v>
      </c>
      <c r="D721" s="0" t="s">
        <v>73</v>
      </c>
      <c r="E721" s="0" t="n">
        <v>107015</v>
      </c>
      <c r="F721" s="0" t="n">
        <v>21003</v>
      </c>
      <c r="G721" s="0" t="n">
        <v>20111</v>
      </c>
      <c r="H721" s="0" t="n">
        <v>19624</v>
      </c>
    </row>
    <row r="722" customFormat="false" ht="15" hidden="false" customHeight="false" outlineLevel="0" collapsed="false">
      <c r="A722" s="0" t="n">
        <v>2022</v>
      </c>
      <c r="B722" s="0" t="s">
        <v>270</v>
      </c>
      <c r="C722" s="0" t="s">
        <v>271</v>
      </c>
      <c r="D722" s="0" t="s">
        <v>73</v>
      </c>
      <c r="E722" s="0" t="n">
        <v>2933704</v>
      </c>
      <c r="F722" s="0" t="n">
        <v>27370</v>
      </c>
      <c r="G722" s="0" t="n">
        <v>25253</v>
      </c>
      <c r="H722" s="0" t="n">
        <v>24250</v>
      </c>
    </row>
    <row r="723" customFormat="false" ht="15" hidden="false" customHeight="false" outlineLevel="0" collapsed="false">
      <c r="A723" s="0" t="n">
        <v>2022</v>
      </c>
      <c r="B723" s="0" t="s">
        <v>268</v>
      </c>
      <c r="C723" s="0" t="s">
        <v>269</v>
      </c>
      <c r="D723" s="0" t="s">
        <v>72</v>
      </c>
      <c r="E723" s="0" t="n">
        <v>266544</v>
      </c>
      <c r="F723" s="0" t="n">
        <v>21829</v>
      </c>
      <c r="G723" s="0" t="n">
        <v>19349</v>
      </c>
      <c r="H723" s="0" t="n">
        <v>17817</v>
      </c>
    </row>
    <row r="724" customFormat="false" ht="15" hidden="false" customHeight="false" outlineLevel="0" collapsed="false">
      <c r="A724" s="0" t="n">
        <v>2022</v>
      </c>
      <c r="B724" s="0" t="s">
        <v>272</v>
      </c>
      <c r="C724" s="0" t="s">
        <v>273</v>
      </c>
      <c r="D724" s="0" t="s">
        <v>72</v>
      </c>
      <c r="E724" s="0" t="n">
        <v>179597</v>
      </c>
      <c r="F724" s="0" t="n">
        <v>21956</v>
      </c>
      <c r="G724" s="0" t="n">
        <v>20918</v>
      </c>
      <c r="H724" s="0" t="n">
        <v>18054</v>
      </c>
    </row>
    <row r="725" customFormat="false" ht="15" hidden="false" customHeight="false" outlineLevel="0" collapsed="false">
      <c r="A725" s="0" t="n">
        <v>2022</v>
      </c>
      <c r="B725" s="0" t="s">
        <v>274</v>
      </c>
      <c r="C725" s="0" t="s">
        <v>275</v>
      </c>
      <c r="D725" s="0" t="s">
        <v>74</v>
      </c>
      <c r="E725" s="0" t="n">
        <v>681501</v>
      </c>
      <c r="F725" s="0" t="n">
        <v>18505</v>
      </c>
      <c r="G725" s="0" t="n">
        <v>17570</v>
      </c>
      <c r="H725" s="0" t="n">
        <v>16611</v>
      </c>
    </row>
    <row r="726" customFormat="false" ht="15" hidden="false" customHeight="false" outlineLevel="0" collapsed="false">
      <c r="A726" s="0" t="n">
        <v>2022</v>
      </c>
      <c r="B726" s="0" t="s">
        <v>280</v>
      </c>
      <c r="C726" s="0" t="s">
        <v>281</v>
      </c>
      <c r="D726" s="0" t="s">
        <v>73</v>
      </c>
      <c r="E726" s="0" t="n">
        <v>202817</v>
      </c>
      <c r="F726" s="0" t="n">
        <v>24568</v>
      </c>
      <c r="G726" s="0" t="n">
        <v>22129</v>
      </c>
      <c r="H726" s="0" t="n">
        <v>20840</v>
      </c>
    </row>
    <row r="727" customFormat="false" ht="15" hidden="false" customHeight="false" outlineLevel="0" collapsed="false">
      <c r="A727" s="0" t="n">
        <v>2022</v>
      </c>
      <c r="B727" s="0" t="s">
        <v>284</v>
      </c>
      <c r="C727" s="0" t="s">
        <v>285</v>
      </c>
      <c r="D727" s="0" t="s">
        <v>72</v>
      </c>
      <c r="E727" s="0" t="n">
        <v>137513</v>
      </c>
      <c r="F727" s="0" t="n">
        <v>22790</v>
      </c>
      <c r="G727" s="0" t="n">
        <v>21228</v>
      </c>
      <c r="H727" s="0" t="n">
        <v>18036</v>
      </c>
    </row>
    <row r="728" customFormat="false" ht="15" hidden="false" customHeight="false" outlineLevel="0" collapsed="false">
      <c r="A728" s="0" t="n">
        <v>2022</v>
      </c>
      <c r="B728" s="0" t="s">
        <v>194</v>
      </c>
      <c r="C728" s="0" t="s">
        <v>195</v>
      </c>
      <c r="D728" s="0" t="s">
        <v>72</v>
      </c>
      <c r="E728" s="0" t="n">
        <v>163189</v>
      </c>
      <c r="F728" s="0" t="n">
        <v>24404</v>
      </c>
      <c r="G728" s="0" t="n">
        <v>22617</v>
      </c>
      <c r="H728" s="0" t="n">
        <v>21167</v>
      </c>
    </row>
    <row r="729" customFormat="false" ht="15" hidden="false" customHeight="false" outlineLevel="0" collapsed="false">
      <c r="A729" s="0" t="n">
        <v>2022</v>
      </c>
      <c r="B729" s="0" t="s">
        <v>282</v>
      </c>
      <c r="C729" s="0" t="s">
        <v>283</v>
      </c>
      <c r="D729" s="0" t="s">
        <v>75</v>
      </c>
      <c r="E729" s="0" t="n">
        <v>235461</v>
      </c>
      <c r="F729" s="0" t="n">
        <v>18765</v>
      </c>
      <c r="G729" s="0" t="n">
        <v>18461</v>
      </c>
      <c r="H729" s="0" t="n">
        <v>17919</v>
      </c>
    </row>
    <row r="730" customFormat="false" ht="15" hidden="false" customHeight="false" outlineLevel="0" collapsed="false">
      <c r="A730" s="0" t="n">
        <v>2022</v>
      </c>
      <c r="B730" s="0" t="s">
        <v>276</v>
      </c>
      <c r="C730" s="0" t="s">
        <v>277</v>
      </c>
      <c r="D730" s="0" t="s">
        <v>75</v>
      </c>
      <c r="E730" s="0" t="n">
        <v>333540</v>
      </c>
      <c r="F730" s="0" t="n">
        <v>19851</v>
      </c>
      <c r="G730" s="0" t="n">
        <v>18372</v>
      </c>
      <c r="H730" s="0" t="n">
        <v>18392</v>
      </c>
    </row>
    <row r="731" customFormat="false" ht="15" hidden="false" customHeight="false" outlineLevel="0" collapsed="false">
      <c r="A731" s="0" t="n">
        <v>2022</v>
      </c>
      <c r="B731" s="0" t="s">
        <v>286</v>
      </c>
      <c r="C731" s="0" t="s">
        <v>287</v>
      </c>
      <c r="D731" s="0" t="s">
        <v>75</v>
      </c>
      <c r="E731" s="0" t="n">
        <v>225715</v>
      </c>
      <c r="F731" s="0" t="n">
        <v>17351</v>
      </c>
      <c r="G731" s="0" t="n">
        <v>17372</v>
      </c>
      <c r="H731" s="0" t="n">
        <v>16030</v>
      </c>
    </row>
    <row r="732" customFormat="false" ht="15" hidden="false" customHeight="false" outlineLevel="0" collapsed="false">
      <c r="A732" s="0" t="n">
        <v>2022</v>
      </c>
      <c r="B732" s="0" t="s">
        <v>278</v>
      </c>
      <c r="C732" s="0" t="s">
        <v>279</v>
      </c>
      <c r="D732" s="0" t="s">
        <v>72</v>
      </c>
      <c r="E732" s="0" t="n">
        <v>208680</v>
      </c>
      <c r="F732" s="0" t="n">
        <v>23793</v>
      </c>
      <c r="G732" s="0" t="n">
        <v>21336</v>
      </c>
      <c r="H732" s="0" t="n">
        <v>19869</v>
      </c>
    </row>
    <row r="733" customFormat="false" ht="15" hidden="false" customHeight="false" outlineLevel="0" collapsed="false">
      <c r="A733" s="0" t="n">
        <v>2022</v>
      </c>
      <c r="B733" s="0" t="s">
        <v>288</v>
      </c>
      <c r="C733" s="0" t="s">
        <v>289</v>
      </c>
      <c r="D733" s="0" t="s">
        <v>74</v>
      </c>
      <c r="E733" s="0" t="n">
        <v>367418</v>
      </c>
      <c r="F733" s="0" t="n">
        <v>19005</v>
      </c>
      <c r="G733" s="0" t="n">
        <v>18181</v>
      </c>
      <c r="H733" s="0" t="n">
        <v>18651</v>
      </c>
    </row>
    <row r="734" customFormat="false" ht="15" hidden="false" customHeight="false" outlineLevel="0" collapsed="false">
      <c r="A734" s="0" t="n">
        <v>2022</v>
      </c>
      <c r="B734" s="0" t="s">
        <v>290</v>
      </c>
      <c r="C734" s="0" t="s">
        <v>291</v>
      </c>
      <c r="D734" s="0" t="s">
        <v>74</v>
      </c>
      <c r="E734" s="0" t="n">
        <v>221190</v>
      </c>
      <c r="F734" s="0" t="n">
        <v>19613</v>
      </c>
      <c r="G734" s="0" t="n">
        <v>18811</v>
      </c>
      <c r="H734" s="0" t="n">
        <v>16478</v>
      </c>
    </row>
    <row r="735" customFormat="false" ht="15" hidden="false" customHeight="false" outlineLevel="0" collapsed="false">
      <c r="A735" s="0" t="n">
        <v>2022</v>
      </c>
      <c r="B735" s="0" t="s">
        <v>298</v>
      </c>
      <c r="C735" s="0" t="s">
        <v>299</v>
      </c>
      <c r="D735" s="0" t="s">
        <v>72</v>
      </c>
      <c r="E735" s="0" t="n">
        <v>437198</v>
      </c>
      <c r="F735" s="0" t="n">
        <v>24731</v>
      </c>
      <c r="G735" s="0" t="n">
        <v>21458</v>
      </c>
      <c r="H735" s="0" t="n">
        <v>20289</v>
      </c>
    </row>
    <row r="736" customFormat="false" ht="15" hidden="false" customHeight="false" outlineLevel="0" collapsed="false">
      <c r="A736" s="0" t="n">
        <v>2022</v>
      </c>
      <c r="B736" s="0" t="s">
        <v>294</v>
      </c>
      <c r="C736" s="0" t="s">
        <v>295</v>
      </c>
      <c r="D736" s="0" t="s">
        <v>72</v>
      </c>
      <c r="E736" s="0" t="n">
        <v>1648346</v>
      </c>
      <c r="F736" s="0" t="n">
        <v>25983</v>
      </c>
      <c r="G736" s="0" t="n">
        <v>24581</v>
      </c>
      <c r="H736" s="0" t="n">
        <v>21824</v>
      </c>
    </row>
    <row r="737" customFormat="false" ht="15" hidden="false" customHeight="false" outlineLevel="0" collapsed="false">
      <c r="A737" s="0" t="n">
        <v>2022</v>
      </c>
      <c r="B737" s="0" t="s">
        <v>296</v>
      </c>
      <c r="C737" s="0" t="s">
        <v>297</v>
      </c>
      <c r="D737" s="0" t="s">
        <v>75</v>
      </c>
      <c r="E737" s="0" t="n">
        <v>262135</v>
      </c>
      <c r="F737" s="0" t="n">
        <v>17531</v>
      </c>
      <c r="G737" s="0" t="n">
        <v>17332</v>
      </c>
      <c r="H737" s="0" t="n">
        <v>16246</v>
      </c>
    </row>
    <row r="738" customFormat="false" ht="15" hidden="false" customHeight="false" outlineLevel="0" collapsed="false">
      <c r="A738" s="0" t="n">
        <v>2022</v>
      </c>
      <c r="B738" s="0" t="s">
        <v>292</v>
      </c>
      <c r="C738" s="0" t="s">
        <v>293</v>
      </c>
      <c r="D738" s="0" t="s">
        <v>73</v>
      </c>
      <c r="E738" s="0" t="n">
        <v>163804</v>
      </c>
      <c r="F738" s="0" t="n">
        <v>21507</v>
      </c>
      <c r="G738" s="0" t="n">
        <v>19641</v>
      </c>
      <c r="H738" s="0" t="n">
        <v>19736</v>
      </c>
    </row>
    <row r="739" customFormat="false" ht="15" hidden="false" customHeight="false" outlineLevel="0" collapsed="false">
      <c r="A739" s="0" t="n">
        <v>2022</v>
      </c>
      <c r="B739" s="0" t="s">
        <v>302</v>
      </c>
      <c r="C739" s="0" t="s">
        <v>303</v>
      </c>
      <c r="D739" s="0" t="s">
        <v>72</v>
      </c>
      <c r="E739" s="0" t="n">
        <v>182639</v>
      </c>
      <c r="F739" s="0" t="n">
        <v>25985</v>
      </c>
      <c r="G739" s="0" t="n">
        <v>24182</v>
      </c>
      <c r="H739" s="0" t="n">
        <v>22662</v>
      </c>
    </row>
    <row r="740" customFormat="false" ht="15" hidden="false" customHeight="false" outlineLevel="0" collapsed="false">
      <c r="A740" s="0" t="n">
        <v>2022</v>
      </c>
      <c r="B740" s="0" t="s">
        <v>300</v>
      </c>
      <c r="C740" s="0" t="s">
        <v>301</v>
      </c>
      <c r="D740" s="0" t="s">
        <v>72</v>
      </c>
      <c r="E740" s="0" t="n">
        <v>665416</v>
      </c>
      <c r="F740" s="0" t="n">
        <v>25135</v>
      </c>
      <c r="G740" s="0" t="n">
        <v>23634</v>
      </c>
      <c r="H740" s="0" t="n">
        <v>19139</v>
      </c>
    </row>
    <row r="741" customFormat="false" ht="15" hidden="false" customHeight="false" outlineLevel="0" collapsed="false">
      <c r="A741" s="0" t="n">
        <v>2022</v>
      </c>
      <c r="B741" s="0" t="s">
        <v>304</v>
      </c>
      <c r="C741" s="0" t="s">
        <v>305</v>
      </c>
      <c r="D741" s="0" t="s">
        <v>72</v>
      </c>
      <c r="E741" s="0" t="n">
        <v>411277</v>
      </c>
      <c r="F741" s="0" t="n">
        <v>24324</v>
      </c>
      <c r="G741" s="0" t="n">
        <v>22953</v>
      </c>
      <c r="H741" s="0" t="n">
        <v>19814</v>
      </c>
    </row>
    <row r="742" customFormat="false" ht="15" hidden="false" customHeight="false" outlineLevel="0" collapsed="false">
      <c r="A742" s="0" t="n">
        <v>2022</v>
      </c>
      <c r="B742" s="0" t="s">
        <v>306</v>
      </c>
      <c r="C742" s="0" t="s">
        <v>307</v>
      </c>
      <c r="D742" s="0" t="s">
        <v>72</v>
      </c>
      <c r="E742" s="0" t="n">
        <v>637257</v>
      </c>
      <c r="F742" s="0" t="n">
        <v>25878</v>
      </c>
      <c r="G742" s="0" t="n">
        <v>25172</v>
      </c>
      <c r="H742" s="0" t="n">
        <v>20677</v>
      </c>
    </row>
    <row r="743" customFormat="false" ht="15" hidden="false" customHeight="false" outlineLevel="0" collapsed="false">
      <c r="A743" s="0" t="n">
        <v>2022</v>
      </c>
      <c r="B743" s="0" t="s">
        <v>310</v>
      </c>
      <c r="C743" s="0" t="s">
        <v>311</v>
      </c>
      <c r="D743" s="0" t="s">
        <v>72</v>
      </c>
      <c r="E743" s="0" t="n">
        <v>116499</v>
      </c>
      <c r="F743" s="0" t="n">
        <v>22173</v>
      </c>
      <c r="G743" s="0" t="n">
        <v>20997</v>
      </c>
      <c r="H743" s="0" t="n">
        <v>18271</v>
      </c>
    </row>
    <row r="744" customFormat="false" ht="15" hidden="false" customHeight="false" outlineLevel="0" collapsed="false">
      <c r="A744" s="0" t="n">
        <v>2022</v>
      </c>
      <c r="B744" s="0" t="s">
        <v>312</v>
      </c>
      <c r="C744" s="0" t="s">
        <v>313</v>
      </c>
      <c r="D744" s="0" t="s">
        <v>72</v>
      </c>
      <c r="E744" s="0" t="n">
        <v>127499</v>
      </c>
      <c r="F744" s="0" t="n">
        <v>23597</v>
      </c>
      <c r="G744" s="0" t="n">
        <v>22575</v>
      </c>
      <c r="H744" s="0" t="n">
        <v>19937</v>
      </c>
    </row>
    <row r="745" customFormat="false" ht="15" hidden="false" customHeight="false" outlineLevel="0" collapsed="false">
      <c r="A745" s="0" t="n">
        <v>2022</v>
      </c>
      <c r="B745" s="0" t="s">
        <v>308</v>
      </c>
      <c r="C745" s="0" t="s">
        <v>309</v>
      </c>
      <c r="D745" s="0" t="s">
        <v>72</v>
      </c>
      <c r="E745" s="0" t="n">
        <v>643872</v>
      </c>
      <c r="F745" s="0" t="n">
        <v>24254</v>
      </c>
      <c r="G745" s="0" t="n">
        <v>22274</v>
      </c>
      <c r="H745" s="0" t="n">
        <v>20058</v>
      </c>
    </row>
    <row r="746" customFormat="false" ht="15" hidden="false" customHeight="false" outlineLevel="0" collapsed="false">
      <c r="A746" s="0" t="n">
        <v>2022</v>
      </c>
      <c r="B746" s="0" t="s">
        <v>318</v>
      </c>
      <c r="C746" s="0" t="s">
        <v>319</v>
      </c>
      <c r="D746" s="0" t="s">
        <v>72</v>
      </c>
      <c r="E746" s="0" t="n">
        <v>650693</v>
      </c>
      <c r="F746" s="0" t="n">
        <v>25266</v>
      </c>
      <c r="G746" s="0" t="n">
        <v>23938</v>
      </c>
      <c r="H746" s="0" t="n">
        <v>19258</v>
      </c>
    </row>
    <row r="747" customFormat="false" ht="15" hidden="false" customHeight="false" outlineLevel="0" collapsed="false">
      <c r="A747" s="0" t="n">
        <v>2022</v>
      </c>
      <c r="B747" s="0" t="s">
        <v>314</v>
      </c>
      <c r="C747" s="0" t="s">
        <v>315</v>
      </c>
      <c r="D747" s="0" t="s">
        <v>72</v>
      </c>
      <c r="E747" s="0" t="n">
        <v>711456</v>
      </c>
      <c r="F747" s="0" t="n">
        <v>24642</v>
      </c>
      <c r="G747" s="0" t="n">
        <v>22698</v>
      </c>
      <c r="H747" s="0" t="n">
        <v>19567</v>
      </c>
    </row>
    <row r="748" customFormat="false" ht="15" hidden="false" customHeight="false" outlineLevel="0" collapsed="false">
      <c r="A748" s="0" t="n">
        <v>2022</v>
      </c>
      <c r="B748" s="0" t="s">
        <v>320</v>
      </c>
      <c r="C748" s="0" t="s">
        <v>321</v>
      </c>
      <c r="D748" s="0" t="s">
        <v>73</v>
      </c>
      <c r="E748" s="0" t="n">
        <v>219048</v>
      </c>
      <c r="F748" s="0" t="n">
        <v>20717</v>
      </c>
      <c r="G748" s="0" t="n">
        <v>19624</v>
      </c>
      <c r="H748" s="0" t="n">
        <v>19223</v>
      </c>
    </row>
    <row r="749" customFormat="false" ht="15" hidden="false" customHeight="false" outlineLevel="0" collapsed="false">
      <c r="A749" s="0" t="n">
        <v>2022</v>
      </c>
      <c r="B749" s="0" t="s">
        <v>316</v>
      </c>
      <c r="C749" s="0" t="s">
        <v>317</v>
      </c>
      <c r="D749" s="0" t="s">
        <v>74</v>
      </c>
      <c r="E749" s="0" t="n">
        <v>98511</v>
      </c>
      <c r="F749" s="0" t="n">
        <v>16280</v>
      </c>
      <c r="G749" s="0" t="n">
        <v>15453</v>
      </c>
      <c r="H749" s="0" t="n">
        <v>15324</v>
      </c>
    </row>
    <row r="750" customFormat="false" ht="15" hidden="false" customHeight="false" outlineLevel="0" collapsed="false">
      <c r="A750" s="0" t="n">
        <v>2023</v>
      </c>
      <c r="B750" s="0" t="s">
        <v>90</v>
      </c>
      <c r="C750" s="0" t="s">
        <v>91</v>
      </c>
      <c r="D750" s="0" t="s">
        <v>75</v>
      </c>
      <c r="E750" s="0" t="n">
        <v>252682</v>
      </c>
      <c r="F750" s="0" t="n">
        <v>17214</v>
      </c>
      <c r="G750" s="0" t="n">
        <v>17745</v>
      </c>
      <c r="H750" s="0" t="n">
        <v>15810</v>
      </c>
    </row>
    <row r="751" customFormat="false" ht="15" hidden="false" customHeight="false" outlineLevel="0" collapsed="false">
      <c r="A751" s="0" t="n">
        <v>2023</v>
      </c>
      <c r="B751" s="0" t="s">
        <v>93</v>
      </c>
      <c r="C751" s="0" t="s">
        <v>94</v>
      </c>
      <c r="D751" s="0" t="s">
        <v>72</v>
      </c>
      <c r="E751" s="0" t="n">
        <v>309756</v>
      </c>
      <c r="F751" s="0" t="n">
        <v>24274</v>
      </c>
      <c r="G751" s="0" t="n">
        <v>23966</v>
      </c>
      <c r="H751" s="0" t="n">
        <v>21452</v>
      </c>
    </row>
    <row r="752" customFormat="false" ht="15" hidden="false" customHeight="false" outlineLevel="0" collapsed="false">
      <c r="A752" s="0" t="n">
        <v>2023</v>
      </c>
      <c r="B752" s="0" t="s">
        <v>96</v>
      </c>
      <c r="C752" s="0" t="s">
        <v>97</v>
      </c>
      <c r="D752" s="0" t="s">
        <v>73</v>
      </c>
      <c r="E752" s="0" t="n">
        <v>358261</v>
      </c>
      <c r="F752" s="0" t="n">
        <v>24448</v>
      </c>
      <c r="G752" s="0" t="n">
        <v>22524</v>
      </c>
      <c r="H752" s="0" t="n">
        <v>21779</v>
      </c>
    </row>
    <row r="753" customFormat="false" ht="15" hidden="false" customHeight="false" outlineLevel="0" collapsed="false">
      <c r="A753" s="0" t="n">
        <v>2023</v>
      </c>
      <c r="B753" s="0" t="s">
        <v>99</v>
      </c>
      <c r="C753" s="0" t="s">
        <v>100</v>
      </c>
      <c r="D753" s="0" t="s">
        <v>72</v>
      </c>
      <c r="E753" s="0" t="n">
        <v>99231</v>
      </c>
      <c r="F753" s="0" t="n">
        <v>25531</v>
      </c>
      <c r="G753" s="0" t="n">
        <v>22997</v>
      </c>
      <c r="H753" s="0" t="n">
        <v>22156</v>
      </c>
    </row>
    <row r="754" customFormat="false" ht="15" hidden="false" customHeight="false" outlineLevel="0" collapsed="false">
      <c r="A754" s="0" t="n">
        <v>2023</v>
      </c>
      <c r="B754" s="0" t="s">
        <v>105</v>
      </c>
      <c r="C754" s="0" t="s">
        <v>106</v>
      </c>
      <c r="D754" s="0" t="s">
        <v>73</v>
      </c>
      <c r="E754" s="0" t="n">
        <v>154400</v>
      </c>
      <c r="F754" s="0" t="n">
        <v>22668</v>
      </c>
      <c r="G754" s="0" t="n">
        <v>20995</v>
      </c>
      <c r="H754" s="0" t="n">
        <v>19577</v>
      </c>
    </row>
    <row r="755" customFormat="false" ht="15" hidden="false" customHeight="false" outlineLevel="0" collapsed="false">
      <c r="A755" s="0" t="n">
        <v>2023</v>
      </c>
      <c r="B755" s="0" t="s">
        <v>192</v>
      </c>
      <c r="C755" s="0" t="s">
        <v>193</v>
      </c>
      <c r="D755" s="0" t="s">
        <v>74</v>
      </c>
      <c r="E755" s="0" t="n">
        <v>211685</v>
      </c>
      <c r="F755" s="0" t="n">
        <v>22139</v>
      </c>
      <c r="G755" s="0" t="n">
        <v>21554</v>
      </c>
      <c r="H755" s="0" t="n">
        <v>20423</v>
      </c>
    </row>
    <row r="756" customFormat="false" ht="15" hidden="false" customHeight="false" outlineLevel="0" collapsed="false">
      <c r="A756" s="0" t="n">
        <v>2023</v>
      </c>
      <c r="B756" s="0" t="s">
        <v>102</v>
      </c>
      <c r="C756" s="0" t="s">
        <v>103</v>
      </c>
      <c r="D756" s="0" t="s">
        <v>73</v>
      </c>
      <c r="E756" s="0" t="n">
        <v>258631</v>
      </c>
      <c r="F756" s="0" t="n">
        <v>23292</v>
      </c>
      <c r="G756" s="0" t="n">
        <v>22738</v>
      </c>
      <c r="H756" s="0" t="n">
        <v>20515</v>
      </c>
    </row>
    <row r="757" customFormat="false" ht="15" hidden="false" customHeight="false" outlineLevel="0" collapsed="false">
      <c r="A757" s="0" t="n">
        <v>2023</v>
      </c>
      <c r="B757" s="0" t="s">
        <v>107</v>
      </c>
      <c r="C757" s="0" t="s">
        <v>108</v>
      </c>
      <c r="D757" s="0" t="s">
        <v>72</v>
      </c>
      <c r="E757" s="0" t="n">
        <v>157489</v>
      </c>
      <c r="F757" s="0" t="n">
        <v>23392</v>
      </c>
      <c r="G757" s="0" t="n">
        <v>22753</v>
      </c>
      <c r="H757" s="0" t="n">
        <v>20834</v>
      </c>
    </row>
    <row r="758" customFormat="false" ht="15" hidden="false" customHeight="false" outlineLevel="0" collapsed="false">
      <c r="A758" s="0" t="n">
        <v>2023</v>
      </c>
      <c r="B758" s="0" t="s">
        <v>109</v>
      </c>
      <c r="C758" s="0" t="s">
        <v>110</v>
      </c>
      <c r="D758" s="0" t="s">
        <v>74</v>
      </c>
      <c r="E758" s="0" t="n">
        <v>267608</v>
      </c>
      <c r="F758" s="0" t="n">
        <v>19334</v>
      </c>
      <c r="G758" s="0" t="n">
        <v>19655</v>
      </c>
      <c r="H758" s="0" t="n">
        <v>17169</v>
      </c>
    </row>
    <row r="759" customFormat="false" ht="15" hidden="false" customHeight="false" outlineLevel="0" collapsed="false">
      <c r="A759" s="0" t="n">
        <v>2023</v>
      </c>
      <c r="B759" s="0" t="s">
        <v>112</v>
      </c>
      <c r="C759" s="0" t="s">
        <v>113</v>
      </c>
      <c r="D759" s="0" t="s">
        <v>74</v>
      </c>
      <c r="E759" s="0" t="n">
        <v>845316</v>
      </c>
      <c r="F759" s="0" t="n">
        <v>20883</v>
      </c>
      <c r="G759" s="0" t="n">
        <v>20057</v>
      </c>
      <c r="H759" s="0" t="n">
        <v>19795</v>
      </c>
    </row>
    <row r="760" customFormat="false" ht="15" hidden="false" customHeight="false" outlineLevel="0" collapsed="false">
      <c r="A760" s="0" t="n">
        <v>2023</v>
      </c>
      <c r="B760" s="0" t="s">
        <v>122</v>
      </c>
      <c r="C760" s="0" t="s">
        <v>123</v>
      </c>
      <c r="D760" s="0" t="s">
        <v>72</v>
      </c>
      <c r="E760" s="0" t="n">
        <v>835977</v>
      </c>
      <c r="F760" s="0" t="n">
        <v>26351</v>
      </c>
      <c r="G760" s="0" t="n">
        <v>25920</v>
      </c>
      <c r="H760" s="0" t="n">
        <v>21616</v>
      </c>
    </row>
    <row r="761" customFormat="false" ht="15" hidden="false" customHeight="false" outlineLevel="0" collapsed="false">
      <c r="A761" s="0" t="n">
        <v>2023</v>
      </c>
      <c r="B761" s="0" t="s">
        <v>125</v>
      </c>
      <c r="C761" s="0" t="s">
        <v>126</v>
      </c>
      <c r="D761" s="0" t="s">
        <v>72</v>
      </c>
      <c r="E761" s="0" t="n">
        <v>134283</v>
      </c>
      <c r="F761" s="0" t="n">
        <v>24892</v>
      </c>
      <c r="G761" s="0" t="n">
        <v>24255</v>
      </c>
      <c r="H761" s="0" t="n">
        <v>21314</v>
      </c>
    </row>
    <row r="762" customFormat="false" ht="15" hidden="false" customHeight="false" outlineLevel="0" collapsed="false">
      <c r="A762" s="0" t="n">
        <v>2023</v>
      </c>
      <c r="B762" s="0" t="s">
        <v>117</v>
      </c>
      <c r="C762" s="0" t="s">
        <v>118</v>
      </c>
      <c r="D762" s="0" t="s">
        <v>72</v>
      </c>
      <c r="E762" s="0" t="n">
        <v>164941</v>
      </c>
      <c r="F762" s="0" t="n">
        <v>24253</v>
      </c>
      <c r="G762" s="0" t="n">
        <v>23781</v>
      </c>
      <c r="H762" s="0" t="n">
        <v>20385</v>
      </c>
    </row>
    <row r="763" customFormat="false" ht="15" hidden="false" customHeight="false" outlineLevel="0" collapsed="false">
      <c r="A763" s="0" t="n">
        <v>2023</v>
      </c>
      <c r="B763" s="0" t="s">
        <v>120</v>
      </c>
      <c r="C763" s="0" t="s">
        <v>121</v>
      </c>
      <c r="D763" s="0" t="s">
        <v>74</v>
      </c>
      <c r="E763" s="0" t="n">
        <v>177729</v>
      </c>
      <c r="F763" s="0" t="n">
        <v>18441</v>
      </c>
      <c r="G763" s="0" t="n">
        <v>19271</v>
      </c>
      <c r="H763" s="0" t="n">
        <v>16932</v>
      </c>
    </row>
    <row r="764" customFormat="false" ht="15" hidden="false" customHeight="false" outlineLevel="0" collapsed="false">
      <c r="A764" s="0" t="n">
        <v>2023</v>
      </c>
      <c r="B764" s="0" t="s">
        <v>127</v>
      </c>
      <c r="C764" s="0" t="s">
        <v>128</v>
      </c>
      <c r="D764" s="0" t="s">
        <v>72</v>
      </c>
      <c r="E764" s="0" t="n">
        <v>805264</v>
      </c>
      <c r="F764" s="0" t="n">
        <v>28593</v>
      </c>
      <c r="G764" s="0" t="n">
        <v>26667</v>
      </c>
      <c r="H764" s="0" t="n">
        <v>24519</v>
      </c>
    </row>
    <row r="765" customFormat="false" ht="15" hidden="false" customHeight="false" outlineLevel="0" collapsed="false">
      <c r="A765" s="0" t="n">
        <v>2023</v>
      </c>
      <c r="B765" s="0" t="s">
        <v>135</v>
      </c>
      <c r="C765" s="0" t="s">
        <v>136</v>
      </c>
      <c r="D765" s="0" t="s">
        <v>74</v>
      </c>
      <c r="E765" s="0" t="n">
        <v>263965</v>
      </c>
      <c r="F765" s="0" t="n">
        <v>18612</v>
      </c>
      <c r="G765" s="0" t="n">
        <v>18083</v>
      </c>
      <c r="H765" s="0" t="n">
        <v>17893</v>
      </c>
    </row>
    <row r="766" customFormat="false" ht="15" hidden="false" customHeight="false" outlineLevel="0" collapsed="false">
      <c r="A766" s="0" t="n">
        <v>2023</v>
      </c>
      <c r="B766" s="0" t="s">
        <v>133</v>
      </c>
      <c r="C766" s="0" t="s">
        <v>134</v>
      </c>
      <c r="D766" s="0" t="s">
        <v>72</v>
      </c>
      <c r="E766" s="0" t="n">
        <v>941285</v>
      </c>
      <c r="F766" s="0" t="n">
        <v>25352</v>
      </c>
      <c r="G766" s="0" t="n">
        <v>24825</v>
      </c>
      <c r="H766" s="0" t="n">
        <v>20754</v>
      </c>
    </row>
    <row r="767" customFormat="false" ht="15" hidden="false" customHeight="false" outlineLevel="0" collapsed="false">
      <c r="A767" s="0" t="n">
        <v>2023</v>
      </c>
      <c r="B767" s="0" t="s">
        <v>115</v>
      </c>
      <c r="C767" s="0" t="s">
        <v>116</v>
      </c>
      <c r="D767" s="0" t="s">
        <v>74</v>
      </c>
      <c r="E767" s="0" t="n">
        <v>243974</v>
      </c>
      <c r="F767" s="0" t="n">
        <v>17221</v>
      </c>
      <c r="G767" s="0" t="n">
        <v>17107</v>
      </c>
      <c r="H767" s="0" t="n">
        <v>17044</v>
      </c>
    </row>
    <row r="768" customFormat="false" ht="15" hidden="false" customHeight="false" outlineLevel="0" collapsed="false">
      <c r="A768" s="0" t="n">
        <v>2023</v>
      </c>
      <c r="B768" s="0" t="s">
        <v>130</v>
      </c>
      <c r="C768" s="0" t="s">
        <v>131</v>
      </c>
      <c r="D768" s="0" t="s">
        <v>72</v>
      </c>
      <c r="E768" s="0" t="n">
        <v>447058</v>
      </c>
      <c r="F768" s="0" t="n">
        <v>27840</v>
      </c>
      <c r="G768" s="0" t="n">
        <v>24812</v>
      </c>
      <c r="H768" s="0" t="n">
        <v>22197</v>
      </c>
    </row>
    <row r="769" customFormat="false" ht="15" hidden="false" customHeight="false" outlineLevel="0" collapsed="false">
      <c r="A769" s="0" t="n">
        <v>2023</v>
      </c>
      <c r="B769" s="0" t="s">
        <v>137</v>
      </c>
      <c r="C769" s="0" t="s">
        <v>138</v>
      </c>
      <c r="D769" s="0" t="s">
        <v>75</v>
      </c>
      <c r="E769" s="0" t="n">
        <v>290247</v>
      </c>
      <c r="F769" s="0" t="n">
        <v>24464</v>
      </c>
      <c r="G769" s="0" t="n">
        <v>22479</v>
      </c>
      <c r="H769" s="0" t="n">
        <v>23730</v>
      </c>
    </row>
    <row r="770" customFormat="false" ht="15" hidden="false" customHeight="false" outlineLevel="0" collapsed="false">
      <c r="A770" s="0" t="n">
        <v>2023</v>
      </c>
      <c r="B770" s="0" t="s">
        <v>142</v>
      </c>
      <c r="C770" s="0" t="s">
        <v>143</v>
      </c>
      <c r="D770" s="0" t="s">
        <v>74</v>
      </c>
      <c r="E770" s="0" t="n">
        <v>151923</v>
      </c>
      <c r="F770" s="0" t="n">
        <v>19174</v>
      </c>
      <c r="G770" s="0" t="n">
        <v>19779</v>
      </c>
      <c r="H770" s="0" t="n">
        <v>17377</v>
      </c>
    </row>
    <row r="771" customFormat="false" ht="15" hidden="false" customHeight="false" outlineLevel="0" collapsed="false">
      <c r="A771" s="0" t="n">
        <v>2023</v>
      </c>
      <c r="B771" s="0" t="s">
        <v>145</v>
      </c>
      <c r="C771" s="0" t="s">
        <v>146</v>
      </c>
      <c r="D771" s="0" t="s">
        <v>74</v>
      </c>
      <c r="E771" s="0" t="n">
        <v>534369</v>
      </c>
      <c r="F771" s="0" t="n">
        <v>19549</v>
      </c>
      <c r="G771" s="0" t="n">
        <v>18857</v>
      </c>
      <c r="H771" s="0" t="n">
        <v>18721</v>
      </c>
    </row>
    <row r="772" customFormat="false" ht="15" hidden="false" customHeight="false" outlineLevel="0" collapsed="false">
      <c r="A772" s="0" t="n">
        <v>2023</v>
      </c>
      <c r="B772" s="0" t="s">
        <v>152</v>
      </c>
      <c r="C772" s="0" t="s">
        <v>153</v>
      </c>
      <c r="D772" s="0" t="s">
        <v>74</v>
      </c>
      <c r="E772" s="0" t="n">
        <v>274694</v>
      </c>
      <c r="F772" s="0" t="n">
        <v>20678</v>
      </c>
      <c r="G772" s="0" t="n">
        <v>20954</v>
      </c>
      <c r="H772" s="0" t="n">
        <v>18196</v>
      </c>
    </row>
    <row r="773" customFormat="false" ht="15" hidden="false" customHeight="false" outlineLevel="0" collapsed="false">
      <c r="A773" s="0" t="n">
        <v>2023</v>
      </c>
      <c r="B773" s="0" t="s">
        <v>140</v>
      </c>
      <c r="C773" s="0" t="s">
        <v>141</v>
      </c>
      <c r="D773" s="0" t="s">
        <v>75</v>
      </c>
      <c r="E773" s="0" t="n">
        <v>152197</v>
      </c>
      <c r="F773" s="0" t="n">
        <v>18187</v>
      </c>
      <c r="G773" s="0" t="n">
        <v>19190</v>
      </c>
      <c r="H773" s="0" t="n">
        <v>16998</v>
      </c>
    </row>
    <row r="774" customFormat="false" ht="15" hidden="false" customHeight="false" outlineLevel="0" collapsed="false">
      <c r="A774" s="0" t="n">
        <v>2023</v>
      </c>
      <c r="B774" s="0" t="s">
        <v>163</v>
      </c>
      <c r="C774" s="0" t="s">
        <v>164</v>
      </c>
      <c r="D774" s="0" t="s">
        <v>72</v>
      </c>
      <c r="E774" s="0" t="n">
        <v>450385</v>
      </c>
      <c r="F774" s="0" t="n">
        <v>24616</v>
      </c>
      <c r="G774" s="0" t="n">
        <v>23371</v>
      </c>
      <c r="H774" s="0" t="n">
        <v>20616</v>
      </c>
    </row>
    <row r="775" customFormat="false" ht="15" hidden="false" customHeight="false" outlineLevel="0" collapsed="false">
      <c r="A775" s="0" t="n">
        <v>2023</v>
      </c>
      <c r="B775" s="0" t="s">
        <v>155</v>
      </c>
      <c r="C775" s="0" t="s">
        <v>156</v>
      </c>
      <c r="D775" s="0" t="s">
        <v>72</v>
      </c>
      <c r="E775" s="0" t="n">
        <v>439014</v>
      </c>
      <c r="F775" s="0" t="n">
        <v>26040</v>
      </c>
      <c r="G775" s="0" t="n">
        <v>25847</v>
      </c>
      <c r="H775" s="0" t="n">
        <v>21478</v>
      </c>
    </row>
    <row r="776" customFormat="false" ht="15" hidden="false" customHeight="false" outlineLevel="0" collapsed="false">
      <c r="A776" s="0" t="n">
        <v>2023</v>
      </c>
      <c r="B776" s="0" t="s">
        <v>159</v>
      </c>
      <c r="C776" s="0" t="s">
        <v>160</v>
      </c>
      <c r="D776" s="0" t="s">
        <v>72</v>
      </c>
      <c r="E776" s="0" t="n">
        <v>269987</v>
      </c>
      <c r="F776" s="0" t="n">
        <v>25054</v>
      </c>
      <c r="G776" s="0" t="n">
        <v>24979</v>
      </c>
      <c r="H776" s="0" t="n">
        <v>21733</v>
      </c>
    </row>
    <row r="777" customFormat="false" ht="15" hidden="false" customHeight="false" outlineLevel="0" collapsed="false">
      <c r="A777" s="0" t="n">
        <v>2023</v>
      </c>
      <c r="B777" s="0" t="s">
        <v>157</v>
      </c>
      <c r="C777" s="0" t="s">
        <v>158</v>
      </c>
      <c r="D777" s="0" t="s">
        <v>74</v>
      </c>
      <c r="E777" s="0" t="n">
        <v>437269</v>
      </c>
      <c r="F777" s="0" t="n">
        <v>17472</v>
      </c>
      <c r="G777" s="0" t="n">
        <v>16752</v>
      </c>
      <c r="H777" s="0" t="n">
        <v>17102</v>
      </c>
    </row>
    <row r="778" customFormat="false" ht="15" hidden="false" customHeight="false" outlineLevel="0" collapsed="false">
      <c r="A778" s="0" t="n">
        <v>2023</v>
      </c>
      <c r="B778" s="0" t="s">
        <v>147</v>
      </c>
      <c r="C778" s="0" t="s">
        <v>148</v>
      </c>
      <c r="D778" s="0" t="s">
        <v>75</v>
      </c>
      <c r="E778" s="0" t="n">
        <v>623669</v>
      </c>
      <c r="F778" s="0" t="n">
        <v>20076</v>
      </c>
      <c r="G778" s="0" t="n">
        <v>19413</v>
      </c>
      <c r="H778" s="0" t="n">
        <v>18921</v>
      </c>
    </row>
    <row r="779" customFormat="false" ht="15" hidden="false" customHeight="false" outlineLevel="0" collapsed="false">
      <c r="A779" s="0" t="n">
        <v>2023</v>
      </c>
      <c r="B779" s="0" t="s">
        <v>149</v>
      </c>
      <c r="C779" s="0" t="s">
        <v>150</v>
      </c>
      <c r="D779" s="0" t="s">
        <v>74</v>
      </c>
      <c r="E779" s="0" t="n">
        <v>221074</v>
      </c>
      <c r="F779" s="0" t="n">
        <v>19027</v>
      </c>
      <c r="G779" s="0" t="n">
        <v>18412</v>
      </c>
      <c r="H779" s="0" t="n">
        <v>17940</v>
      </c>
    </row>
    <row r="780" customFormat="false" ht="15" hidden="false" customHeight="false" outlineLevel="0" collapsed="false">
      <c r="A780" s="0" t="n">
        <v>2023</v>
      </c>
      <c r="B780" s="0" t="s">
        <v>165</v>
      </c>
      <c r="C780" s="0" t="s">
        <v>166</v>
      </c>
      <c r="D780" s="0" t="s">
        <v>75</v>
      </c>
      <c r="E780" s="0" t="n">
        <v>98941</v>
      </c>
      <c r="F780" s="0" t="n">
        <v>17840</v>
      </c>
      <c r="G780" s="0" t="n">
        <v>18863</v>
      </c>
      <c r="H780" s="0" t="n">
        <v>16018</v>
      </c>
    </row>
    <row r="781" customFormat="false" ht="15" hidden="false" customHeight="false" outlineLevel="0" collapsed="false">
      <c r="A781" s="0" t="n">
        <v>2023</v>
      </c>
      <c r="B781" s="0" t="s">
        <v>175</v>
      </c>
      <c r="C781" s="0" t="s">
        <v>176</v>
      </c>
      <c r="D781" s="0" t="s">
        <v>72</v>
      </c>
      <c r="E781" s="0" t="n">
        <v>313887</v>
      </c>
      <c r="F781" s="0" t="n">
        <v>24419</v>
      </c>
      <c r="G781" s="0" t="n">
        <v>22527</v>
      </c>
      <c r="H781" s="0" t="n">
        <v>20402</v>
      </c>
    </row>
    <row r="782" customFormat="false" ht="15" hidden="false" customHeight="false" outlineLevel="0" collapsed="false">
      <c r="A782" s="0" t="n">
        <v>2023</v>
      </c>
      <c r="B782" s="0" t="s">
        <v>169</v>
      </c>
      <c r="C782" s="0" t="s">
        <v>170</v>
      </c>
      <c r="D782" s="0" t="s">
        <v>72</v>
      </c>
      <c r="E782" s="0" t="n">
        <v>272902</v>
      </c>
      <c r="F782" s="0" t="n">
        <v>24203</v>
      </c>
      <c r="G782" s="0" t="n">
        <v>22876</v>
      </c>
      <c r="H782" s="0" t="n">
        <v>21098</v>
      </c>
    </row>
    <row r="783" customFormat="false" ht="15" hidden="false" customHeight="false" outlineLevel="0" collapsed="false">
      <c r="A783" s="0" t="n">
        <v>2023</v>
      </c>
      <c r="B783" s="0" t="s">
        <v>173</v>
      </c>
      <c r="C783" s="0" t="s">
        <v>174</v>
      </c>
      <c r="D783" s="0" t="s">
        <v>74</v>
      </c>
      <c r="E783" s="0" t="n">
        <v>393558</v>
      </c>
      <c r="F783" s="0" t="n">
        <v>17710</v>
      </c>
      <c r="G783" s="0" t="n">
        <v>17049</v>
      </c>
      <c r="H783" s="0" t="n">
        <v>17450</v>
      </c>
    </row>
    <row r="784" customFormat="false" ht="15" hidden="false" customHeight="false" outlineLevel="0" collapsed="false">
      <c r="A784" s="0" t="n">
        <v>2023</v>
      </c>
      <c r="B784" s="0" t="s">
        <v>171</v>
      </c>
      <c r="C784" s="0" t="s">
        <v>172</v>
      </c>
      <c r="D784" s="0" t="s">
        <v>73</v>
      </c>
      <c r="E784" s="0" t="n">
        <v>765721</v>
      </c>
      <c r="F784" s="0" t="n">
        <v>26633</v>
      </c>
      <c r="G784" s="0" t="n">
        <v>24476</v>
      </c>
      <c r="H784" s="0" t="n">
        <v>22991</v>
      </c>
    </row>
    <row r="785" customFormat="false" ht="15" hidden="false" customHeight="false" outlineLevel="0" collapsed="false">
      <c r="A785" s="0" t="n">
        <v>2023</v>
      </c>
      <c r="B785" s="0" t="s">
        <v>167</v>
      </c>
      <c r="C785" s="0" t="s">
        <v>168</v>
      </c>
      <c r="D785" s="0" t="s">
        <v>73</v>
      </c>
      <c r="E785" s="0" t="n">
        <v>127663</v>
      </c>
      <c r="F785" s="0" t="n">
        <v>20692</v>
      </c>
      <c r="G785" s="0" t="n">
        <v>19961</v>
      </c>
      <c r="H785" s="0" t="n">
        <v>17752</v>
      </c>
    </row>
    <row r="786" customFormat="false" ht="15" hidden="false" customHeight="false" outlineLevel="0" collapsed="false">
      <c r="A786" s="0" t="n">
        <v>2023</v>
      </c>
      <c r="B786" s="0" t="s">
        <v>177</v>
      </c>
      <c r="C786" s="0" t="s">
        <v>178</v>
      </c>
      <c r="D786" s="0" t="s">
        <v>73</v>
      </c>
      <c r="E786" s="0" t="n">
        <v>316277</v>
      </c>
      <c r="F786" s="0" t="n">
        <v>20581</v>
      </c>
      <c r="G786" s="0" t="n">
        <v>21104</v>
      </c>
      <c r="H786" s="0" t="n">
        <v>18820</v>
      </c>
    </row>
    <row r="787" customFormat="false" ht="15" hidden="false" customHeight="false" outlineLevel="0" collapsed="false">
      <c r="A787" s="0" t="n">
        <v>2023</v>
      </c>
      <c r="B787" s="0" t="s">
        <v>180</v>
      </c>
      <c r="C787" s="0" t="s">
        <v>181</v>
      </c>
      <c r="D787" s="0" t="s">
        <v>72</v>
      </c>
      <c r="E787" s="0" t="n">
        <v>668973</v>
      </c>
      <c r="F787" s="0" t="n">
        <v>26674</v>
      </c>
      <c r="G787" s="0" t="n">
        <v>23838</v>
      </c>
      <c r="H787" s="0" t="n">
        <v>23965</v>
      </c>
    </row>
    <row r="788" customFormat="false" ht="15" hidden="false" customHeight="false" outlineLevel="0" collapsed="false">
      <c r="A788" s="0" t="n">
        <v>2023</v>
      </c>
      <c r="B788" s="0" t="s">
        <v>183</v>
      </c>
      <c r="C788" s="0" t="s">
        <v>184</v>
      </c>
      <c r="D788" s="0" t="s">
        <v>72</v>
      </c>
      <c r="E788" s="0" t="n">
        <v>111733</v>
      </c>
      <c r="F788" s="0" t="n">
        <v>23476</v>
      </c>
      <c r="G788" s="0" t="n">
        <v>22305</v>
      </c>
      <c r="H788" s="0" t="n">
        <v>22222</v>
      </c>
    </row>
    <row r="789" customFormat="false" ht="15" hidden="false" customHeight="false" outlineLevel="0" collapsed="false">
      <c r="A789" s="0" t="n">
        <v>2023</v>
      </c>
      <c r="B789" s="0" t="s">
        <v>186</v>
      </c>
      <c r="C789" s="0" t="s">
        <v>187</v>
      </c>
      <c r="D789" s="0" t="s">
        <v>73</v>
      </c>
      <c r="E789" s="0" t="n">
        <v>168222</v>
      </c>
      <c r="F789" s="0" t="n">
        <v>22317</v>
      </c>
      <c r="G789" s="0" t="n">
        <v>20526</v>
      </c>
      <c r="H789" s="0" t="n">
        <v>20819</v>
      </c>
    </row>
    <row r="790" customFormat="false" ht="15" hidden="false" customHeight="false" outlineLevel="0" collapsed="false">
      <c r="A790" s="0" t="n">
        <v>2023</v>
      </c>
      <c r="B790" s="0" t="s">
        <v>188</v>
      </c>
      <c r="C790" s="0" t="s">
        <v>189</v>
      </c>
      <c r="D790" s="0" t="s">
        <v>72</v>
      </c>
      <c r="E790" s="0" t="n">
        <v>155369</v>
      </c>
      <c r="F790" s="0" t="n">
        <v>21176</v>
      </c>
      <c r="G790" s="0" t="n">
        <v>19293</v>
      </c>
      <c r="H790" s="0" t="n">
        <v>19073</v>
      </c>
    </row>
    <row r="791" customFormat="false" ht="15" hidden="false" customHeight="false" outlineLevel="0" collapsed="false">
      <c r="A791" s="0" t="n">
        <v>2023</v>
      </c>
      <c r="B791" s="0" t="s">
        <v>190</v>
      </c>
      <c r="C791" s="0" t="s">
        <v>191</v>
      </c>
      <c r="D791" s="0" t="s">
        <v>74</v>
      </c>
      <c r="E791" s="0" t="n">
        <v>59172</v>
      </c>
      <c r="F791" s="0" t="n">
        <v>18824</v>
      </c>
      <c r="G791" s="0" t="n">
        <v>19621</v>
      </c>
      <c r="H791" s="0" t="n">
        <v>17451</v>
      </c>
    </row>
    <row r="792" customFormat="false" ht="15" hidden="false" customHeight="false" outlineLevel="0" collapsed="false">
      <c r="A792" s="0" t="n">
        <v>2023</v>
      </c>
      <c r="B792" s="0" t="s">
        <v>161</v>
      </c>
      <c r="C792" s="0" t="s">
        <v>162</v>
      </c>
      <c r="D792" s="0" t="s">
        <v>74</v>
      </c>
      <c r="E792" s="0" t="n">
        <v>95371</v>
      </c>
      <c r="F792" s="0" t="n">
        <v>16765</v>
      </c>
      <c r="G792" s="0" t="n">
        <v>16329</v>
      </c>
      <c r="H792" s="0" t="n">
        <v>16126</v>
      </c>
    </row>
    <row r="793" customFormat="false" ht="15" hidden="false" customHeight="false" outlineLevel="0" collapsed="false">
      <c r="A793" s="0" t="n">
        <v>2023</v>
      </c>
      <c r="B793" s="0" t="s">
        <v>200</v>
      </c>
      <c r="C793" s="0" t="s">
        <v>201</v>
      </c>
      <c r="D793" s="0" t="s">
        <v>72</v>
      </c>
      <c r="E793" s="0" t="n">
        <v>256781</v>
      </c>
      <c r="F793" s="0" t="n">
        <v>28055</v>
      </c>
      <c r="G793" s="0" t="n">
        <v>27507</v>
      </c>
      <c r="H793" s="0" t="n">
        <v>22867</v>
      </c>
    </row>
    <row r="794" customFormat="false" ht="15" hidden="false" customHeight="false" outlineLevel="0" collapsed="false">
      <c r="A794" s="0" t="n">
        <v>2023</v>
      </c>
      <c r="B794" s="0" t="s">
        <v>198</v>
      </c>
      <c r="C794" s="0" t="s">
        <v>199</v>
      </c>
      <c r="D794" s="0" t="s">
        <v>74</v>
      </c>
      <c r="E794" s="0" t="n">
        <v>536350</v>
      </c>
      <c r="F794" s="0" t="n">
        <v>18731</v>
      </c>
      <c r="G794" s="0" t="n">
        <v>18042</v>
      </c>
      <c r="H794" s="0" t="n">
        <v>17311</v>
      </c>
    </row>
    <row r="795" customFormat="false" ht="15" hidden="false" customHeight="false" outlineLevel="0" collapsed="false">
      <c r="A795" s="0" t="n">
        <v>2023</v>
      </c>
      <c r="B795" s="0" t="s">
        <v>202</v>
      </c>
      <c r="C795" s="0" t="s">
        <v>203</v>
      </c>
      <c r="D795" s="0" t="s">
        <v>73</v>
      </c>
      <c r="E795" s="0" t="n">
        <v>249551</v>
      </c>
      <c r="F795" s="0" t="n">
        <v>24428</v>
      </c>
      <c r="G795" s="0" t="n">
        <v>22339</v>
      </c>
      <c r="H795" s="0" t="n">
        <v>22831</v>
      </c>
    </row>
    <row r="796" customFormat="false" ht="15" hidden="false" customHeight="false" outlineLevel="0" collapsed="false">
      <c r="A796" s="0" t="n">
        <v>2023</v>
      </c>
      <c r="B796" s="0" t="s">
        <v>204</v>
      </c>
      <c r="C796" s="0" t="s">
        <v>205</v>
      </c>
      <c r="D796" s="0" t="s">
        <v>72</v>
      </c>
      <c r="E796" s="0" t="n">
        <v>170990</v>
      </c>
      <c r="F796" s="0" t="n">
        <v>25917</v>
      </c>
      <c r="G796" s="0" t="n">
        <v>25823</v>
      </c>
      <c r="H796" s="0" t="n">
        <v>22713</v>
      </c>
    </row>
    <row r="797" customFormat="false" ht="15" hidden="false" customHeight="false" outlineLevel="0" collapsed="false">
      <c r="A797" s="0" t="n">
        <v>2023</v>
      </c>
      <c r="B797" s="0" t="s">
        <v>196</v>
      </c>
      <c r="C797" s="0" t="s">
        <v>197</v>
      </c>
      <c r="D797" s="0" t="s">
        <v>73</v>
      </c>
      <c r="E797" s="0" t="n">
        <v>394989</v>
      </c>
      <c r="F797" s="0" t="n">
        <v>20837</v>
      </c>
      <c r="G797" s="0" t="n">
        <v>20228</v>
      </c>
      <c r="H797" s="0" t="n">
        <v>19577</v>
      </c>
    </row>
    <row r="798" customFormat="false" ht="15" hidden="false" customHeight="false" outlineLevel="0" collapsed="false">
      <c r="A798" s="0" t="n">
        <v>2023</v>
      </c>
      <c r="B798" s="0" t="s">
        <v>206</v>
      </c>
      <c r="C798" s="0" t="s">
        <v>207</v>
      </c>
      <c r="D798" s="0" t="s">
        <v>73</v>
      </c>
      <c r="E798" s="0" t="n">
        <v>289341</v>
      </c>
      <c r="F798" s="0" t="n">
        <v>24433</v>
      </c>
      <c r="G798" s="0" t="n">
        <v>23134</v>
      </c>
      <c r="H798" s="0" t="n">
        <v>20729</v>
      </c>
    </row>
    <row r="799" customFormat="false" ht="15" hidden="false" customHeight="false" outlineLevel="0" collapsed="false">
      <c r="A799" s="0" t="n">
        <v>2023</v>
      </c>
      <c r="B799" s="0" t="s">
        <v>222</v>
      </c>
      <c r="C799" s="0" t="s">
        <v>223</v>
      </c>
      <c r="D799" s="0" t="s">
        <v>72</v>
      </c>
      <c r="E799" s="0" t="n">
        <v>662544</v>
      </c>
      <c r="F799" s="0" t="n">
        <v>28203</v>
      </c>
      <c r="G799" s="0" t="n">
        <v>28833</v>
      </c>
      <c r="H799" s="0" t="n">
        <v>23559</v>
      </c>
    </row>
    <row r="800" customFormat="false" ht="15" hidden="false" customHeight="false" outlineLevel="0" collapsed="false">
      <c r="A800" s="0" t="n">
        <v>2023</v>
      </c>
      <c r="B800" s="0" t="s">
        <v>208</v>
      </c>
      <c r="C800" s="0" t="s">
        <v>209</v>
      </c>
      <c r="D800" s="0" t="s">
        <v>73</v>
      </c>
      <c r="E800" s="0" t="n">
        <v>233546</v>
      </c>
      <c r="F800" s="0" t="n">
        <v>22273</v>
      </c>
      <c r="G800" s="0" t="n">
        <v>21058</v>
      </c>
      <c r="H800" s="0" t="n">
        <v>19482</v>
      </c>
    </row>
    <row r="801" customFormat="false" ht="15" hidden="false" customHeight="false" outlineLevel="0" collapsed="false">
      <c r="A801" s="0" t="n">
        <v>2023</v>
      </c>
      <c r="B801" s="0" t="s">
        <v>217</v>
      </c>
      <c r="C801" s="0" t="s">
        <v>218</v>
      </c>
      <c r="D801" s="0" t="s">
        <v>75</v>
      </c>
      <c r="E801" s="0" t="n">
        <v>393929</v>
      </c>
      <c r="F801" s="0" t="n">
        <v>19902</v>
      </c>
      <c r="G801" s="0" t="n">
        <v>18901</v>
      </c>
      <c r="H801" s="0" t="n">
        <v>19165</v>
      </c>
    </row>
    <row r="802" customFormat="false" ht="15" hidden="false" customHeight="false" outlineLevel="0" collapsed="false">
      <c r="A802" s="0" t="n">
        <v>2023</v>
      </c>
      <c r="B802" s="0" t="s">
        <v>219</v>
      </c>
      <c r="C802" s="0" t="s">
        <v>50</v>
      </c>
      <c r="D802" s="0" t="s">
        <v>72</v>
      </c>
      <c r="E802" s="0" t="n">
        <v>2466123</v>
      </c>
      <c r="F802" s="0" t="n">
        <v>32873</v>
      </c>
      <c r="G802" s="0" t="n">
        <v>31834</v>
      </c>
      <c r="H802" s="0" t="n">
        <v>25875</v>
      </c>
    </row>
    <row r="803" customFormat="false" ht="15" hidden="false" customHeight="false" outlineLevel="0" collapsed="false">
      <c r="A803" s="0" t="n">
        <v>2023</v>
      </c>
      <c r="B803" s="0" t="s">
        <v>210</v>
      </c>
      <c r="C803" s="0" t="s">
        <v>211</v>
      </c>
      <c r="D803" s="0" t="s">
        <v>72</v>
      </c>
      <c r="E803" s="0" t="n">
        <v>308425</v>
      </c>
      <c r="F803" s="0" t="n">
        <v>24846</v>
      </c>
      <c r="G803" s="0" t="n">
        <v>23893</v>
      </c>
      <c r="H803" s="0" t="n">
        <v>20620</v>
      </c>
    </row>
    <row r="804" customFormat="false" ht="15" hidden="false" customHeight="false" outlineLevel="0" collapsed="false">
      <c r="A804" s="0" t="n">
        <v>2023</v>
      </c>
      <c r="B804" s="0" t="s">
        <v>220</v>
      </c>
      <c r="C804" s="0" t="s">
        <v>221</v>
      </c>
      <c r="D804" s="0" t="s">
        <v>72</v>
      </c>
      <c r="E804" s="0" t="n">
        <v>548298</v>
      </c>
      <c r="F804" s="0" t="n">
        <v>27171</v>
      </c>
      <c r="G804" s="0" t="n">
        <v>26176</v>
      </c>
      <c r="H804" s="0" t="n">
        <v>22494</v>
      </c>
    </row>
    <row r="805" customFormat="false" ht="15" hidden="false" customHeight="false" outlineLevel="0" collapsed="false">
      <c r="A805" s="0" t="n">
        <v>2023</v>
      </c>
      <c r="B805" s="0" t="s">
        <v>212</v>
      </c>
      <c r="C805" s="0" t="s">
        <v>213</v>
      </c>
      <c r="D805" s="0" t="s">
        <v>73</v>
      </c>
      <c r="E805" s="0" t="n">
        <v>140356</v>
      </c>
      <c r="F805" s="0" t="n">
        <v>23692</v>
      </c>
      <c r="G805" s="0" t="n">
        <v>22196</v>
      </c>
      <c r="H805" s="0" t="n">
        <v>21094</v>
      </c>
    </row>
    <row r="806" customFormat="false" ht="15" hidden="false" customHeight="false" outlineLevel="0" collapsed="false">
      <c r="A806" s="0" t="n">
        <v>2023</v>
      </c>
      <c r="B806" s="0" t="s">
        <v>214</v>
      </c>
      <c r="C806" s="0" t="s">
        <v>215</v>
      </c>
      <c r="D806" s="0" t="s">
        <v>74</v>
      </c>
      <c r="E806" s="0" t="n">
        <v>134740</v>
      </c>
      <c r="F806" s="0" t="n">
        <v>18676</v>
      </c>
      <c r="G806" s="0" t="n">
        <v>18393</v>
      </c>
      <c r="H806" s="0" t="n">
        <v>18209</v>
      </c>
    </row>
    <row r="807" customFormat="false" ht="15" hidden="false" customHeight="false" outlineLevel="0" collapsed="false">
      <c r="A807" s="0" t="n">
        <v>2023</v>
      </c>
      <c r="B807" s="0" t="s">
        <v>224</v>
      </c>
      <c r="C807" s="0" t="s">
        <v>51</v>
      </c>
      <c r="D807" s="0" t="s">
        <v>74</v>
      </c>
      <c r="E807" s="0" t="n">
        <v>1654316</v>
      </c>
      <c r="F807" s="0" t="n">
        <v>21163</v>
      </c>
      <c r="G807" s="0" t="n">
        <v>19702</v>
      </c>
      <c r="H807" s="0" t="n">
        <v>20190</v>
      </c>
    </row>
    <row r="808" customFormat="false" ht="15" hidden="false" customHeight="false" outlineLevel="0" collapsed="false">
      <c r="A808" s="0" t="n">
        <v>2023</v>
      </c>
      <c r="B808" s="0" t="s">
        <v>225</v>
      </c>
      <c r="C808" s="0" t="s">
        <v>226</v>
      </c>
      <c r="D808" s="0" t="s">
        <v>72</v>
      </c>
      <c r="E808" s="0" t="n">
        <v>274987</v>
      </c>
      <c r="F808" s="0" t="n">
        <v>26383</v>
      </c>
      <c r="G808" s="0" t="n">
        <v>25567</v>
      </c>
      <c r="H808" s="0" t="n">
        <v>22719</v>
      </c>
    </row>
    <row r="809" customFormat="false" ht="15" hidden="false" customHeight="false" outlineLevel="0" collapsed="false">
      <c r="A809" s="0" t="n">
        <v>2023</v>
      </c>
      <c r="B809" s="0" t="s">
        <v>227</v>
      </c>
      <c r="C809" s="0" t="s">
        <v>228</v>
      </c>
      <c r="D809" s="0" t="s">
        <v>75</v>
      </c>
      <c r="E809" s="0" t="n">
        <v>141781</v>
      </c>
      <c r="F809" s="0" t="n">
        <v>18562</v>
      </c>
      <c r="G809" s="0" t="n">
        <v>18169</v>
      </c>
      <c r="H809" s="0" t="n">
        <v>17822</v>
      </c>
    </row>
    <row r="810" customFormat="false" ht="15" hidden="false" customHeight="false" outlineLevel="0" collapsed="false">
      <c r="A810" s="0" t="n">
        <v>2023</v>
      </c>
      <c r="B810" s="0" t="s">
        <v>229</v>
      </c>
      <c r="C810" s="0" t="s">
        <v>230</v>
      </c>
      <c r="D810" s="0" t="s">
        <v>75</v>
      </c>
      <c r="E810" s="0" t="n">
        <v>105650</v>
      </c>
      <c r="F810" s="0" t="n">
        <v>18679</v>
      </c>
      <c r="G810" s="0" t="n">
        <v>18765</v>
      </c>
      <c r="H810" s="0" t="n">
        <v>17858</v>
      </c>
    </row>
    <row r="811" customFormat="false" ht="15" hidden="false" customHeight="false" outlineLevel="0" collapsed="false">
      <c r="A811" s="0" t="n">
        <v>2023</v>
      </c>
      <c r="B811" s="0" t="s">
        <v>233</v>
      </c>
      <c r="C811" s="0" t="s">
        <v>234</v>
      </c>
      <c r="D811" s="0" t="s">
        <v>75</v>
      </c>
      <c r="E811" s="0" t="n">
        <v>702313</v>
      </c>
      <c r="F811" s="0" t="n">
        <v>21022</v>
      </c>
      <c r="G811" s="0" t="n">
        <v>19622</v>
      </c>
      <c r="H811" s="0" t="n">
        <v>20503</v>
      </c>
    </row>
    <row r="812" customFormat="false" ht="15" hidden="false" customHeight="false" outlineLevel="0" collapsed="false">
      <c r="A812" s="0" t="n">
        <v>2023</v>
      </c>
      <c r="B812" s="0" t="s">
        <v>246</v>
      </c>
      <c r="C812" s="0" t="s">
        <v>247</v>
      </c>
      <c r="D812" s="0" t="s">
        <v>72</v>
      </c>
      <c r="E812" s="0" t="n">
        <v>223419</v>
      </c>
      <c r="F812" s="0" t="n">
        <v>26513</v>
      </c>
      <c r="G812" s="0" t="n">
        <v>24869</v>
      </c>
      <c r="H812" s="0" t="n">
        <v>22071</v>
      </c>
    </row>
    <row r="813" customFormat="false" ht="15" hidden="false" customHeight="false" outlineLevel="0" collapsed="false">
      <c r="A813" s="0" t="n">
        <v>2023</v>
      </c>
      <c r="B813" s="0" t="s">
        <v>231</v>
      </c>
      <c r="C813" s="0" t="s">
        <v>232</v>
      </c>
      <c r="D813" s="0" t="s">
        <v>72</v>
      </c>
      <c r="E813" s="0" t="n">
        <v>711543</v>
      </c>
      <c r="F813" s="0" t="n">
        <v>26518</v>
      </c>
      <c r="G813" s="0" t="n">
        <v>25178</v>
      </c>
      <c r="H813" s="0" t="n">
        <v>21589</v>
      </c>
    </row>
    <row r="814" customFormat="false" ht="15" hidden="false" customHeight="false" outlineLevel="0" collapsed="false">
      <c r="A814" s="0" t="n">
        <v>2023</v>
      </c>
      <c r="B814" s="0" t="s">
        <v>244</v>
      </c>
      <c r="C814" s="0" t="s">
        <v>245</v>
      </c>
      <c r="D814" s="0" t="s">
        <v>74</v>
      </c>
      <c r="E814" s="0" t="n">
        <v>225128</v>
      </c>
      <c r="F814" s="0" t="n">
        <v>22342</v>
      </c>
      <c r="G814" s="0" t="n">
        <v>21424</v>
      </c>
      <c r="H814" s="0" t="n">
        <v>19861</v>
      </c>
    </row>
    <row r="815" customFormat="false" ht="15" hidden="false" customHeight="false" outlineLevel="0" collapsed="false">
      <c r="A815" s="0" t="n">
        <v>2023</v>
      </c>
      <c r="B815" s="0" t="s">
        <v>239</v>
      </c>
      <c r="C815" s="0" t="s">
        <v>240</v>
      </c>
      <c r="D815" s="0" t="s">
        <v>73</v>
      </c>
      <c r="E815" s="0" t="n">
        <v>502222</v>
      </c>
      <c r="F815" s="0" t="n">
        <v>22222</v>
      </c>
      <c r="G815" s="0" t="n">
        <v>20331</v>
      </c>
      <c r="H815" s="0" t="n">
        <v>20438</v>
      </c>
    </row>
    <row r="816" customFormat="false" ht="15" hidden="false" customHeight="false" outlineLevel="0" collapsed="false">
      <c r="A816" s="0" t="n">
        <v>2023</v>
      </c>
      <c r="B816" s="0" t="s">
        <v>248</v>
      </c>
      <c r="C816" s="0" t="s">
        <v>249</v>
      </c>
      <c r="D816" s="0" t="s">
        <v>73</v>
      </c>
      <c r="E816" s="0" t="n">
        <v>313507</v>
      </c>
      <c r="F816" s="0" t="n">
        <v>25297</v>
      </c>
      <c r="G816" s="0" t="n">
        <v>23996</v>
      </c>
      <c r="H816" s="0" t="n">
        <v>22129</v>
      </c>
    </row>
    <row r="817" customFormat="false" ht="15" hidden="false" customHeight="false" outlineLevel="0" collapsed="false">
      <c r="A817" s="0" t="n">
        <v>2023</v>
      </c>
      <c r="B817" s="0" t="s">
        <v>252</v>
      </c>
      <c r="C817" s="0" t="s">
        <v>253</v>
      </c>
      <c r="D817" s="0" t="s">
        <v>72</v>
      </c>
      <c r="E817" s="0" t="n">
        <v>243586</v>
      </c>
      <c r="F817" s="0" t="n">
        <v>25234</v>
      </c>
      <c r="G817" s="0" t="n">
        <v>23988</v>
      </c>
      <c r="H817" s="0" t="n">
        <v>21114</v>
      </c>
    </row>
    <row r="818" customFormat="false" ht="15" hidden="false" customHeight="false" outlineLevel="0" collapsed="false">
      <c r="A818" s="0" t="n">
        <v>2023</v>
      </c>
      <c r="B818" s="0" t="s">
        <v>256</v>
      </c>
      <c r="C818" s="0" t="s">
        <v>257</v>
      </c>
      <c r="D818" s="0" t="s">
        <v>73</v>
      </c>
      <c r="E818" s="0" t="n">
        <v>202397</v>
      </c>
      <c r="F818" s="0" t="n">
        <v>23793</v>
      </c>
      <c r="G818" s="0" t="n">
        <v>20970</v>
      </c>
      <c r="H818" s="0" t="n">
        <v>20627</v>
      </c>
    </row>
    <row r="819" customFormat="false" ht="15" hidden="false" customHeight="false" outlineLevel="0" collapsed="false">
      <c r="A819" s="0" t="n">
        <v>2023</v>
      </c>
      <c r="B819" s="0" t="s">
        <v>235</v>
      </c>
      <c r="C819" s="0" t="s">
        <v>236</v>
      </c>
      <c r="D819" s="0" t="s">
        <v>72</v>
      </c>
      <c r="E819" s="0" t="n">
        <v>350209</v>
      </c>
      <c r="F819" s="0" t="n">
        <v>28140</v>
      </c>
      <c r="G819" s="0" t="n">
        <v>26753</v>
      </c>
      <c r="H819" s="0" t="n">
        <v>23288</v>
      </c>
    </row>
    <row r="820" customFormat="false" ht="15" hidden="false" customHeight="false" outlineLevel="0" collapsed="false">
      <c r="A820" s="0" t="n">
        <v>2023</v>
      </c>
      <c r="B820" s="0" t="s">
        <v>250</v>
      </c>
      <c r="C820" s="0" t="s">
        <v>251</v>
      </c>
      <c r="D820" s="0" t="s">
        <v>73</v>
      </c>
      <c r="E820" s="0" t="n">
        <v>216921</v>
      </c>
      <c r="F820" s="0" t="n">
        <v>23188</v>
      </c>
      <c r="G820" s="0" t="n">
        <v>22235</v>
      </c>
      <c r="H820" s="0" t="n">
        <v>19792</v>
      </c>
    </row>
    <row r="821" customFormat="false" ht="15" hidden="false" customHeight="false" outlineLevel="0" collapsed="false">
      <c r="A821" s="0" t="n">
        <v>2023</v>
      </c>
      <c r="B821" s="0" t="s">
        <v>242</v>
      </c>
      <c r="C821" s="0" t="s">
        <v>243</v>
      </c>
      <c r="D821" s="0" t="s">
        <v>73</v>
      </c>
      <c r="E821" s="0" t="n">
        <v>272569</v>
      </c>
      <c r="F821" s="0" t="n">
        <v>23707</v>
      </c>
      <c r="G821" s="0" t="n">
        <v>22206</v>
      </c>
      <c r="H821" s="0" t="n">
        <v>19636</v>
      </c>
    </row>
    <row r="822" customFormat="false" ht="15" hidden="false" customHeight="false" outlineLevel="0" collapsed="false">
      <c r="A822" s="0" t="n">
        <v>2023</v>
      </c>
      <c r="B822" s="0" t="s">
        <v>237</v>
      </c>
      <c r="C822" s="0" t="s">
        <v>238</v>
      </c>
      <c r="D822" s="0" t="s">
        <v>72</v>
      </c>
      <c r="E822" s="0" t="n">
        <v>408210</v>
      </c>
      <c r="F822" s="0" t="n">
        <v>25646</v>
      </c>
      <c r="G822" s="0" t="n">
        <v>24831</v>
      </c>
      <c r="H822" s="0" t="n">
        <v>22112</v>
      </c>
    </row>
    <row r="823" customFormat="false" ht="15" hidden="false" customHeight="false" outlineLevel="0" collapsed="false">
      <c r="A823" s="0" t="n">
        <v>2023</v>
      </c>
      <c r="B823" s="0" t="s">
        <v>254</v>
      </c>
      <c r="C823" s="0" t="s">
        <v>255</v>
      </c>
      <c r="D823" s="0" t="s">
        <v>74</v>
      </c>
      <c r="E823" s="0" t="n">
        <v>242795</v>
      </c>
      <c r="F823" s="0" t="n">
        <v>19286</v>
      </c>
      <c r="G823" s="0" t="n">
        <v>20002</v>
      </c>
      <c r="H823" s="0" t="n">
        <v>17198</v>
      </c>
    </row>
    <row r="824" customFormat="false" ht="15" hidden="false" customHeight="false" outlineLevel="0" collapsed="false">
      <c r="A824" s="0" t="n">
        <v>2023</v>
      </c>
      <c r="B824" s="0" t="s">
        <v>260</v>
      </c>
      <c r="C824" s="0" t="s">
        <v>261</v>
      </c>
      <c r="D824" s="0" t="s">
        <v>72</v>
      </c>
      <c r="E824" s="0" t="n">
        <v>311132</v>
      </c>
      <c r="F824" s="0" t="n">
        <v>24705</v>
      </c>
      <c r="G824" s="0" t="n">
        <v>23176</v>
      </c>
      <c r="H824" s="0" t="n">
        <v>21642</v>
      </c>
    </row>
    <row r="825" customFormat="false" ht="15" hidden="false" customHeight="false" outlineLevel="0" collapsed="false">
      <c r="A825" s="0" t="n">
        <v>2023</v>
      </c>
      <c r="B825" s="0" t="s">
        <v>262</v>
      </c>
      <c r="C825" s="0" t="s">
        <v>263</v>
      </c>
      <c r="D825" s="0" t="s">
        <v>74</v>
      </c>
      <c r="E825" s="0" t="n">
        <v>329498</v>
      </c>
      <c r="F825" s="0" t="n">
        <v>18436</v>
      </c>
      <c r="G825" s="0" t="n">
        <v>17242</v>
      </c>
      <c r="H825" s="0" t="n">
        <v>17696</v>
      </c>
    </row>
    <row r="826" customFormat="false" ht="15" hidden="false" customHeight="false" outlineLevel="0" collapsed="false">
      <c r="A826" s="0" t="n">
        <v>2023</v>
      </c>
      <c r="B826" s="0" t="s">
        <v>264</v>
      </c>
      <c r="C826" s="0" t="s">
        <v>265</v>
      </c>
      <c r="D826" s="0" t="s">
        <v>72</v>
      </c>
      <c r="E826" s="0" t="n">
        <v>403665</v>
      </c>
      <c r="F826" s="0" t="n">
        <v>26820</v>
      </c>
      <c r="G826" s="0" t="n">
        <v>25623</v>
      </c>
      <c r="H826" s="0" t="n">
        <v>22503</v>
      </c>
    </row>
    <row r="827" customFormat="false" ht="15" hidden="false" customHeight="false" outlineLevel="0" collapsed="false">
      <c r="A827" s="0" t="n">
        <v>2023</v>
      </c>
      <c r="B827" s="0" t="s">
        <v>258</v>
      </c>
      <c r="C827" s="0" t="s">
        <v>259</v>
      </c>
      <c r="D827" s="0" t="s">
        <v>75</v>
      </c>
      <c r="E827" s="0" t="n">
        <v>210081</v>
      </c>
      <c r="F827" s="0" t="n">
        <v>17073</v>
      </c>
      <c r="G827" s="0" t="n">
        <v>16667</v>
      </c>
      <c r="H827" s="0" t="n">
        <v>17238</v>
      </c>
    </row>
    <row r="828" customFormat="false" ht="15" hidden="false" customHeight="false" outlineLevel="0" collapsed="false">
      <c r="A828" s="0" t="n">
        <v>2023</v>
      </c>
      <c r="B828" s="0" t="s">
        <v>266</v>
      </c>
      <c r="C828" s="0" t="s">
        <v>267</v>
      </c>
      <c r="D828" s="0" t="s">
        <v>73</v>
      </c>
      <c r="E828" s="0" t="n">
        <v>108072</v>
      </c>
      <c r="F828" s="0" t="n">
        <v>22161</v>
      </c>
      <c r="G828" s="0" t="n">
        <v>21168</v>
      </c>
      <c r="H828" s="0" t="n">
        <v>21208</v>
      </c>
    </row>
    <row r="829" customFormat="false" ht="15" hidden="false" customHeight="false" outlineLevel="0" collapsed="false">
      <c r="A829" s="0" t="n">
        <v>2023</v>
      </c>
      <c r="B829" s="0" t="s">
        <v>270</v>
      </c>
      <c r="C829" s="0" t="s">
        <v>271</v>
      </c>
      <c r="D829" s="0" t="s">
        <v>73</v>
      </c>
      <c r="E829" s="0" t="n">
        <v>2978241</v>
      </c>
      <c r="F829" s="0" t="n">
        <v>28419</v>
      </c>
      <c r="G829" s="0" t="n">
        <v>26293</v>
      </c>
      <c r="H829" s="0" t="n">
        <v>25882</v>
      </c>
    </row>
    <row r="830" customFormat="false" ht="15" hidden="false" customHeight="false" outlineLevel="0" collapsed="false">
      <c r="A830" s="0" t="n">
        <v>2023</v>
      </c>
      <c r="B830" s="0" t="s">
        <v>268</v>
      </c>
      <c r="C830" s="0" t="s">
        <v>269</v>
      </c>
      <c r="D830" s="0" t="s">
        <v>72</v>
      </c>
      <c r="E830" s="0" t="n">
        <v>271075</v>
      </c>
      <c r="F830" s="0" t="n">
        <v>22636</v>
      </c>
      <c r="G830" s="0" t="n">
        <v>20292</v>
      </c>
      <c r="H830" s="0" t="n">
        <v>19183</v>
      </c>
    </row>
    <row r="831" customFormat="false" ht="15" hidden="false" customHeight="false" outlineLevel="0" collapsed="false">
      <c r="A831" s="0" t="n">
        <v>2023</v>
      </c>
      <c r="B831" s="0" t="s">
        <v>272</v>
      </c>
      <c r="C831" s="0" t="s">
        <v>273</v>
      </c>
      <c r="D831" s="0" t="s">
        <v>72</v>
      </c>
      <c r="E831" s="0" t="n">
        <v>180739</v>
      </c>
      <c r="F831" s="0" t="n">
        <v>22786</v>
      </c>
      <c r="G831" s="0" t="n">
        <v>21914</v>
      </c>
      <c r="H831" s="0" t="n">
        <v>19553</v>
      </c>
    </row>
    <row r="832" customFormat="false" ht="15" hidden="false" customHeight="false" outlineLevel="0" collapsed="false">
      <c r="A832" s="0" t="n">
        <v>2023</v>
      </c>
      <c r="B832" s="0" t="s">
        <v>274</v>
      </c>
      <c r="C832" s="0" t="s">
        <v>275</v>
      </c>
      <c r="D832" s="0" t="s">
        <v>74</v>
      </c>
      <c r="E832" s="0" t="n">
        <v>689743</v>
      </c>
      <c r="F832" s="0" t="n">
        <v>19365</v>
      </c>
      <c r="G832" s="0" t="n">
        <v>18487</v>
      </c>
      <c r="H832" s="0" t="n">
        <v>17984</v>
      </c>
    </row>
    <row r="833" customFormat="false" ht="15" hidden="false" customHeight="false" outlineLevel="0" collapsed="false">
      <c r="A833" s="0" t="n">
        <v>2023</v>
      </c>
      <c r="B833" s="0" t="s">
        <v>280</v>
      </c>
      <c r="C833" s="0" t="s">
        <v>281</v>
      </c>
      <c r="D833" s="0" t="s">
        <v>73</v>
      </c>
      <c r="E833" s="0" t="n">
        <v>204299</v>
      </c>
      <c r="F833" s="0" t="n">
        <v>25335</v>
      </c>
      <c r="G833" s="0" t="n">
        <v>23045</v>
      </c>
      <c r="H833" s="0" t="n">
        <v>22455</v>
      </c>
    </row>
    <row r="834" customFormat="false" ht="15" hidden="false" customHeight="false" outlineLevel="0" collapsed="false">
      <c r="A834" s="0" t="n">
        <v>2023</v>
      </c>
      <c r="B834" s="0" t="s">
        <v>284</v>
      </c>
      <c r="C834" s="0" t="s">
        <v>285</v>
      </c>
      <c r="D834" s="0" t="s">
        <v>72</v>
      </c>
      <c r="E834" s="0" t="n">
        <v>138843</v>
      </c>
      <c r="F834" s="0" t="n">
        <v>23246</v>
      </c>
      <c r="G834" s="0" t="n">
        <v>22268</v>
      </c>
      <c r="H834" s="0" t="n">
        <v>19509</v>
      </c>
    </row>
    <row r="835" customFormat="false" ht="15" hidden="false" customHeight="false" outlineLevel="0" collapsed="false">
      <c r="A835" s="0" t="n">
        <v>2023</v>
      </c>
      <c r="B835" s="0" t="s">
        <v>194</v>
      </c>
      <c r="C835" s="0" t="s">
        <v>195</v>
      </c>
      <c r="D835" s="0" t="s">
        <v>72</v>
      </c>
      <c r="E835" s="0" t="n">
        <v>165079</v>
      </c>
      <c r="F835" s="0" t="n">
        <v>24807</v>
      </c>
      <c r="G835" s="0" t="n">
        <v>23629</v>
      </c>
      <c r="H835" s="0" t="n">
        <v>22724</v>
      </c>
    </row>
    <row r="836" customFormat="false" ht="15" hidden="false" customHeight="false" outlineLevel="0" collapsed="false">
      <c r="A836" s="0" t="n">
        <v>2023</v>
      </c>
      <c r="B836" s="0" t="s">
        <v>282</v>
      </c>
      <c r="C836" s="0" t="s">
        <v>283</v>
      </c>
      <c r="D836" s="0" t="s">
        <v>75</v>
      </c>
      <c r="E836" s="0" t="n">
        <v>237762</v>
      </c>
      <c r="F836" s="0" t="n">
        <v>19262</v>
      </c>
      <c r="G836" s="0" t="n">
        <v>19393</v>
      </c>
      <c r="H836" s="0" t="n">
        <v>19355</v>
      </c>
    </row>
    <row r="837" customFormat="false" ht="15" hidden="false" customHeight="false" outlineLevel="0" collapsed="false">
      <c r="A837" s="0" t="n">
        <v>2023</v>
      </c>
      <c r="B837" s="0" t="s">
        <v>276</v>
      </c>
      <c r="C837" s="0" t="s">
        <v>277</v>
      </c>
      <c r="D837" s="0" t="s">
        <v>75</v>
      </c>
      <c r="E837" s="0" t="n">
        <v>338725</v>
      </c>
      <c r="F837" s="0" t="n">
        <v>20670</v>
      </c>
      <c r="G837" s="0" t="n">
        <v>19402</v>
      </c>
      <c r="H837" s="0" t="n">
        <v>19811</v>
      </c>
    </row>
    <row r="838" customFormat="false" ht="15" hidden="false" customHeight="false" outlineLevel="0" collapsed="false">
      <c r="A838" s="0" t="n">
        <v>2023</v>
      </c>
      <c r="B838" s="0" t="s">
        <v>286</v>
      </c>
      <c r="C838" s="0" t="s">
        <v>287</v>
      </c>
      <c r="D838" s="0" t="s">
        <v>75</v>
      </c>
      <c r="E838" s="0" t="n">
        <v>228101</v>
      </c>
      <c r="F838" s="0" t="n">
        <v>18300</v>
      </c>
      <c r="G838" s="0" t="n">
        <v>18359</v>
      </c>
      <c r="H838" s="0" t="n">
        <v>17303</v>
      </c>
    </row>
    <row r="839" customFormat="false" ht="15" hidden="false" customHeight="false" outlineLevel="0" collapsed="false">
      <c r="A839" s="0" t="n">
        <v>2023</v>
      </c>
      <c r="B839" s="0" t="s">
        <v>278</v>
      </c>
      <c r="C839" s="0" t="s">
        <v>279</v>
      </c>
      <c r="D839" s="0" t="s">
        <v>72</v>
      </c>
      <c r="E839" s="0" t="n">
        <v>210398</v>
      </c>
      <c r="F839" s="0" t="n">
        <v>24183</v>
      </c>
      <c r="G839" s="0" t="n">
        <v>22179</v>
      </c>
      <c r="H839" s="0" t="n">
        <v>21414</v>
      </c>
    </row>
    <row r="840" customFormat="false" ht="15" hidden="false" customHeight="false" outlineLevel="0" collapsed="false">
      <c r="A840" s="0" t="n">
        <v>2023</v>
      </c>
      <c r="B840" s="0" t="s">
        <v>288</v>
      </c>
      <c r="C840" s="0" t="s">
        <v>289</v>
      </c>
      <c r="D840" s="0" t="s">
        <v>74</v>
      </c>
      <c r="E840" s="0" t="n">
        <v>373869</v>
      </c>
      <c r="F840" s="0" t="n">
        <v>19765</v>
      </c>
      <c r="G840" s="0" t="n">
        <v>18876</v>
      </c>
      <c r="H840" s="0" t="n">
        <v>19893</v>
      </c>
    </row>
    <row r="841" customFormat="false" ht="15" hidden="false" customHeight="false" outlineLevel="0" collapsed="false">
      <c r="A841" s="0" t="n">
        <v>2023</v>
      </c>
      <c r="B841" s="0" t="s">
        <v>290</v>
      </c>
      <c r="C841" s="0" t="s">
        <v>291</v>
      </c>
      <c r="D841" s="0" t="s">
        <v>74</v>
      </c>
      <c r="E841" s="0" t="n">
        <v>224904</v>
      </c>
      <c r="F841" s="0" t="n">
        <v>20082</v>
      </c>
      <c r="G841" s="0" t="n">
        <v>19810</v>
      </c>
      <c r="H841" s="0" t="n">
        <v>17912</v>
      </c>
    </row>
    <row r="842" customFormat="false" ht="15" hidden="false" customHeight="false" outlineLevel="0" collapsed="false">
      <c r="A842" s="0" t="n">
        <v>2023</v>
      </c>
      <c r="B842" s="0" t="s">
        <v>298</v>
      </c>
      <c r="C842" s="0" t="s">
        <v>299</v>
      </c>
      <c r="D842" s="0" t="s">
        <v>72</v>
      </c>
      <c r="E842" s="0" t="n">
        <v>443328</v>
      </c>
      <c r="F842" s="0" t="n">
        <v>25614</v>
      </c>
      <c r="G842" s="0" t="n">
        <v>22605</v>
      </c>
      <c r="H842" s="0" t="n">
        <v>21885</v>
      </c>
    </row>
    <row r="843" customFormat="false" ht="15" hidden="false" customHeight="false" outlineLevel="0" collapsed="false">
      <c r="A843" s="0" t="n">
        <v>2023</v>
      </c>
      <c r="B843" s="0" t="s">
        <v>294</v>
      </c>
      <c r="C843" s="0" t="s">
        <v>295</v>
      </c>
      <c r="D843" s="0" t="s">
        <v>72</v>
      </c>
      <c r="E843" s="0" t="n">
        <v>1667397</v>
      </c>
      <c r="F843" s="0" t="n">
        <v>26878</v>
      </c>
      <c r="G843" s="0" t="n">
        <v>25657</v>
      </c>
      <c r="H843" s="0" t="n">
        <v>23462</v>
      </c>
    </row>
    <row r="844" customFormat="false" ht="15" hidden="false" customHeight="false" outlineLevel="0" collapsed="false">
      <c r="A844" s="0" t="n">
        <v>2023</v>
      </c>
      <c r="B844" s="0" t="s">
        <v>296</v>
      </c>
      <c r="C844" s="0" t="s">
        <v>297</v>
      </c>
      <c r="D844" s="0" t="s">
        <v>75</v>
      </c>
      <c r="E844" s="0" t="n">
        <v>264786</v>
      </c>
      <c r="F844" s="0" t="n">
        <v>18485</v>
      </c>
      <c r="G844" s="0" t="n">
        <v>18166</v>
      </c>
      <c r="H844" s="0" t="n">
        <v>17649</v>
      </c>
    </row>
    <row r="845" customFormat="false" ht="15" hidden="false" customHeight="false" outlineLevel="0" collapsed="false">
      <c r="A845" s="0" t="n">
        <v>2023</v>
      </c>
      <c r="B845" s="0" t="s">
        <v>292</v>
      </c>
      <c r="C845" s="0" t="s">
        <v>293</v>
      </c>
      <c r="D845" s="0" t="s">
        <v>73</v>
      </c>
      <c r="E845" s="0" t="n">
        <v>166381</v>
      </c>
      <c r="F845" s="0" t="n">
        <v>22368</v>
      </c>
      <c r="G845" s="0" t="n">
        <v>20330</v>
      </c>
      <c r="H845" s="0" t="n">
        <v>21231</v>
      </c>
    </row>
    <row r="846" customFormat="false" ht="15" hidden="false" customHeight="false" outlineLevel="0" collapsed="false">
      <c r="A846" s="0" t="n">
        <v>2023</v>
      </c>
      <c r="B846" s="0" t="s">
        <v>302</v>
      </c>
      <c r="C846" s="0" t="s">
        <v>303</v>
      </c>
      <c r="D846" s="0" t="s">
        <v>72</v>
      </c>
      <c r="E846" s="0" t="n">
        <v>184379</v>
      </c>
      <c r="F846" s="0" t="n">
        <v>27232</v>
      </c>
      <c r="G846" s="0" t="n">
        <v>25237</v>
      </c>
      <c r="H846" s="0" t="n">
        <v>24307</v>
      </c>
    </row>
    <row r="847" customFormat="false" ht="15" hidden="false" customHeight="false" outlineLevel="0" collapsed="false">
      <c r="A847" s="0" t="n">
        <v>2023</v>
      </c>
      <c r="B847" s="0" t="s">
        <v>300</v>
      </c>
      <c r="C847" s="0" t="s">
        <v>301</v>
      </c>
      <c r="D847" s="0" t="s">
        <v>72</v>
      </c>
      <c r="E847" s="0" t="n">
        <v>674300</v>
      </c>
      <c r="F847" s="0" t="n">
        <v>25505</v>
      </c>
      <c r="G847" s="0" t="n">
        <v>24668</v>
      </c>
      <c r="H847" s="0" t="n">
        <v>20646</v>
      </c>
    </row>
    <row r="848" customFormat="false" ht="15" hidden="false" customHeight="false" outlineLevel="0" collapsed="false">
      <c r="A848" s="0" t="n">
        <v>2023</v>
      </c>
      <c r="B848" s="0" t="s">
        <v>304</v>
      </c>
      <c r="C848" s="0" t="s">
        <v>305</v>
      </c>
      <c r="D848" s="0" t="s">
        <v>72</v>
      </c>
      <c r="E848" s="0" t="n">
        <v>415330</v>
      </c>
      <c r="F848" s="0" t="n">
        <v>25181</v>
      </c>
      <c r="G848" s="0" t="n">
        <v>24001</v>
      </c>
      <c r="H848" s="0" t="n">
        <v>21376</v>
      </c>
    </row>
    <row r="849" customFormat="false" ht="15" hidden="false" customHeight="false" outlineLevel="0" collapsed="false">
      <c r="A849" s="0" t="n">
        <v>2023</v>
      </c>
      <c r="B849" s="0" t="s">
        <v>306</v>
      </c>
      <c r="C849" s="0" t="s">
        <v>307</v>
      </c>
      <c r="D849" s="0" t="s">
        <v>72</v>
      </c>
      <c r="E849" s="0" t="n">
        <v>644014</v>
      </c>
      <c r="F849" s="0" t="n">
        <v>26294</v>
      </c>
      <c r="G849" s="0" t="n">
        <v>26221</v>
      </c>
      <c r="H849" s="0" t="n">
        <v>22244</v>
      </c>
    </row>
    <row r="850" customFormat="false" ht="15" hidden="false" customHeight="false" outlineLevel="0" collapsed="false">
      <c r="A850" s="0" t="n">
        <v>2023</v>
      </c>
      <c r="B850" s="0" t="s">
        <v>310</v>
      </c>
      <c r="C850" s="0" t="s">
        <v>311</v>
      </c>
      <c r="D850" s="0" t="s">
        <v>72</v>
      </c>
      <c r="E850" s="0" t="n">
        <v>116902</v>
      </c>
      <c r="F850" s="0" t="n">
        <v>22438</v>
      </c>
      <c r="G850" s="0" t="n">
        <v>22109</v>
      </c>
      <c r="H850" s="0" t="n">
        <v>19686</v>
      </c>
    </row>
    <row r="851" customFormat="false" ht="15" hidden="false" customHeight="false" outlineLevel="0" collapsed="false">
      <c r="A851" s="0" t="n">
        <v>2023</v>
      </c>
      <c r="B851" s="0" t="s">
        <v>312</v>
      </c>
      <c r="C851" s="0" t="s">
        <v>313</v>
      </c>
      <c r="D851" s="0" t="s">
        <v>72</v>
      </c>
      <c r="E851" s="0" t="n">
        <v>128494</v>
      </c>
      <c r="F851" s="0" t="n">
        <v>23863</v>
      </c>
      <c r="G851" s="0" t="n">
        <v>23488</v>
      </c>
      <c r="H851" s="0" t="n">
        <v>21501</v>
      </c>
    </row>
    <row r="852" customFormat="false" ht="15" hidden="false" customHeight="false" outlineLevel="0" collapsed="false">
      <c r="A852" s="0" t="n">
        <v>2023</v>
      </c>
      <c r="B852" s="0" t="s">
        <v>308</v>
      </c>
      <c r="C852" s="0" t="s">
        <v>309</v>
      </c>
      <c r="D852" s="0" t="s">
        <v>72</v>
      </c>
      <c r="E852" s="0" t="n">
        <v>653537</v>
      </c>
      <c r="F852" s="0" t="n">
        <v>25147</v>
      </c>
      <c r="G852" s="0" t="n">
        <v>23275</v>
      </c>
      <c r="H852" s="0" t="n">
        <v>21558</v>
      </c>
    </row>
    <row r="853" customFormat="false" ht="15" hidden="false" customHeight="false" outlineLevel="0" collapsed="false">
      <c r="A853" s="0" t="n">
        <v>2023</v>
      </c>
      <c r="B853" s="0" t="s">
        <v>318</v>
      </c>
      <c r="C853" s="0" t="s">
        <v>319</v>
      </c>
      <c r="D853" s="0" t="s">
        <v>72</v>
      </c>
      <c r="E853" s="0" t="n">
        <v>659252</v>
      </c>
      <c r="F853" s="0" t="n">
        <v>25561</v>
      </c>
      <c r="G853" s="0" t="n">
        <v>24950</v>
      </c>
      <c r="H853" s="0" t="n">
        <v>20791</v>
      </c>
    </row>
    <row r="854" customFormat="false" ht="15" hidden="false" customHeight="false" outlineLevel="0" collapsed="false">
      <c r="A854" s="0" t="n">
        <v>2023</v>
      </c>
      <c r="B854" s="0" t="s">
        <v>314</v>
      </c>
      <c r="C854" s="0" t="s">
        <v>315</v>
      </c>
      <c r="D854" s="0" t="s">
        <v>72</v>
      </c>
      <c r="E854" s="0" t="n">
        <v>721821</v>
      </c>
      <c r="F854" s="0" t="n">
        <v>25170</v>
      </c>
      <c r="G854" s="0" t="n">
        <v>23686</v>
      </c>
      <c r="H854" s="0" t="n">
        <v>21066</v>
      </c>
    </row>
    <row r="855" customFormat="false" ht="15" hidden="false" customHeight="false" outlineLevel="0" collapsed="false">
      <c r="A855" s="0" t="n">
        <v>2023</v>
      </c>
      <c r="B855" s="0" t="s">
        <v>320</v>
      </c>
      <c r="C855" s="0" t="s">
        <v>321</v>
      </c>
      <c r="D855" s="0" t="s">
        <v>73</v>
      </c>
      <c r="E855" s="0" t="n">
        <v>221446</v>
      </c>
      <c r="F855" s="0" t="n">
        <v>21298</v>
      </c>
      <c r="G855" s="0" t="n">
        <v>20479</v>
      </c>
      <c r="H855" s="0" t="n">
        <v>20690</v>
      </c>
    </row>
    <row r="856" customFormat="false" ht="15" hidden="false" customHeight="false" outlineLevel="0" collapsed="false">
      <c r="A856" s="0" t="n">
        <v>2023</v>
      </c>
      <c r="B856" s="0" t="s">
        <v>316</v>
      </c>
      <c r="C856" s="0" t="s">
        <v>317</v>
      </c>
      <c r="D856" s="0" t="s">
        <v>74</v>
      </c>
      <c r="E856" s="0" t="n">
        <v>99095</v>
      </c>
      <c r="F856" s="0" t="n">
        <v>16982</v>
      </c>
      <c r="G856" s="0" t="n">
        <v>16326</v>
      </c>
      <c r="H856" s="0" t="n">
        <v>16585</v>
      </c>
    </row>
    <row r="857" customFormat="false" ht="15" hidden="false" customHeight="false" outlineLevel="0" collapsed="false">
      <c r="A857" s="0" t="n">
        <v>2024</v>
      </c>
      <c r="B857" s="0" t="s">
        <v>90</v>
      </c>
      <c r="C857" s="0" t="s">
        <v>91</v>
      </c>
      <c r="D857" s="0" t="s">
        <v>75</v>
      </c>
      <c r="E857" s="0" t="n">
        <v>253034</v>
      </c>
      <c r="F857" s="0" t="n">
        <v>18162</v>
      </c>
      <c r="G857" s="0" t="n">
        <v>18518</v>
      </c>
      <c r="H857" s="0" t="n">
        <v>16787</v>
      </c>
    </row>
    <row r="858" customFormat="false" ht="15" hidden="false" customHeight="false" outlineLevel="0" collapsed="false">
      <c r="A858" s="0" t="n">
        <v>2024</v>
      </c>
      <c r="B858" s="0" t="s">
        <v>93</v>
      </c>
      <c r="C858" s="0" t="s">
        <v>94</v>
      </c>
      <c r="D858" s="0" t="s">
        <v>72</v>
      </c>
      <c r="E858" s="0" t="n">
        <v>311669</v>
      </c>
      <c r="F858" s="0" t="n">
        <v>25157</v>
      </c>
      <c r="G858" s="0" t="n">
        <v>24970</v>
      </c>
      <c r="H858" s="0" t="n">
        <v>22643</v>
      </c>
    </row>
    <row r="859" customFormat="false" ht="15" hidden="false" customHeight="false" outlineLevel="0" collapsed="false">
      <c r="A859" s="0" t="n">
        <v>2024</v>
      </c>
      <c r="B859" s="0" t="s">
        <v>96</v>
      </c>
      <c r="C859" s="0" t="s">
        <v>97</v>
      </c>
      <c r="D859" s="0" t="s">
        <v>73</v>
      </c>
      <c r="E859" s="0" t="n">
        <v>360370</v>
      </c>
      <c r="F859" s="0" t="n">
        <v>24788</v>
      </c>
      <c r="G859" s="0" t="n">
        <v>23523</v>
      </c>
      <c r="H859" s="0" t="n">
        <v>22946</v>
      </c>
    </row>
    <row r="860" customFormat="false" ht="15" hidden="false" customHeight="false" outlineLevel="0" collapsed="false">
      <c r="A860" s="0" t="n">
        <v>2024</v>
      </c>
      <c r="B860" s="0" t="s">
        <v>99</v>
      </c>
      <c r="C860" s="0" t="s">
        <v>100</v>
      </c>
      <c r="D860" s="0" t="s">
        <v>72</v>
      </c>
      <c r="E860" s="0" t="n">
        <v>99839</v>
      </c>
      <c r="F860" s="0" t="n">
        <v>26873</v>
      </c>
      <c r="G860" s="0" t="n">
        <v>24016</v>
      </c>
      <c r="H860" s="0" t="n">
        <v>23280</v>
      </c>
    </row>
    <row r="861" customFormat="false" ht="15" hidden="false" customHeight="false" outlineLevel="0" collapsed="false">
      <c r="A861" s="0" t="n">
        <v>2024</v>
      </c>
      <c r="B861" s="0" t="s">
        <v>105</v>
      </c>
      <c r="C861" s="0" t="s">
        <v>106</v>
      </c>
      <c r="D861" s="0" t="s">
        <v>73</v>
      </c>
      <c r="E861" s="0" t="n">
        <v>155048</v>
      </c>
      <c r="F861" s="0" t="n">
        <v>23404</v>
      </c>
      <c r="G861" s="0" t="n">
        <v>21909</v>
      </c>
      <c r="H861" s="0" t="n">
        <v>20647</v>
      </c>
    </row>
    <row r="862" customFormat="false" ht="15" hidden="false" customHeight="false" outlineLevel="0" collapsed="false">
      <c r="A862" s="0" t="n">
        <v>2024</v>
      </c>
      <c r="B862" s="0" t="s">
        <v>192</v>
      </c>
      <c r="C862" s="0" t="s">
        <v>193</v>
      </c>
      <c r="D862" s="0" t="s">
        <v>74</v>
      </c>
      <c r="E862" s="0" t="n">
        <v>212906</v>
      </c>
      <c r="F862" s="0" t="n">
        <v>23049</v>
      </c>
      <c r="G862" s="0" t="n">
        <v>22385</v>
      </c>
      <c r="H862" s="0" t="n">
        <v>21596</v>
      </c>
    </row>
    <row r="863" customFormat="false" ht="15" hidden="false" customHeight="false" outlineLevel="0" collapsed="false">
      <c r="A863" s="0" t="n">
        <v>2024</v>
      </c>
      <c r="B863" s="0" t="s">
        <v>102</v>
      </c>
      <c r="C863" s="0" t="s">
        <v>103</v>
      </c>
      <c r="D863" s="0" t="s">
        <v>73</v>
      </c>
      <c r="E863" s="0" t="n">
        <v>260002</v>
      </c>
      <c r="F863" s="0" t="n">
        <v>24475</v>
      </c>
      <c r="G863" s="0" t="n">
        <v>23626</v>
      </c>
      <c r="H863" s="0" t="n">
        <v>21629</v>
      </c>
    </row>
    <row r="864" customFormat="false" ht="15" hidden="false" customHeight="false" outlineLevel="0" collapsed="false">
      <c r="A864" s="0" t="n">
        <v>2024</v>
      </c>
      <c r="B864" s="0" t="s">
        <v>107</v>
      </c>
      <c r="C864" s="0" t="s">
        <v>108</v>
      </c>
      <c r="D864" s="0" t="s">
        <v>72</v>
      </c>
      <c r="E864" s="0" t="n">
        <v>157833</v>
      </c>
      <c r="F864" s="0" t="n">
        <v>24299</v>
      </c>
      <c r="G864" s="0" t="n">
        <v>23698</v>
      </c>
      <c r="H864" s="0" t="n">
        <v>22029</v>
      </c>
    </row>
    <row r="865" customFormat="false" ht="15" hidden="false" customHeight="false" outlineLevel="0" collapsed="false">
      <c r="A865" s="0" t="n">
        <v>2024</v>
      </c>
      <c r="B865" s="0" t="s">
        <v>109</v>
      </c>
      <c r="C865" s="0" t="s">
        <v>110</v>
      </c>
      <c r="D865" s="0" t="s">
        <v>74</v>
      </c>
      <c r="E865" s="0" t="n">
        <v>268957</v>
      </c>
      <c r="F865" s="0" t="n">
        <v>19885</v>
      </c>
      <c r="G865" s="0" t="n">
        <v>20325</v>
      </c>
      <c r="H865" s="0" t="n">
        <v>18161</v>
      </c>
    </row>
    <row r="866" customFormat="false" ht="15" hidden="false" customHeight="false" outlineLevel="0" collapsed="false">
      <c r="A866" s="0" t="n">
        <v>2024</v>
      </c>
      <c r="B866" s="0" t="s">
        <v>112</v>
      </c>
      <c r="C866" s="0" t="s">
        <v>113</v>
      </c>
      <c r="D866" s="0" t="s">
        <v>74</v>
      </c>
      <c r="E866" s="0" t="n">
        <v>850680</v>
      </c>
      <c r="F866" s="0" t="n">
        <v>21920</v>
      </c>
      <c r="G866" s="0" t="n">
        <v>21075</v>
      </c>
      <c r="H866" s="0" t="n">
        <v>20730</v>
      </c>
    </row>
    <row r="867" customFormat="false" ht="15" hidden="false" customHeight="false" outlineLevel="0" collapsed="false">
      <c r="A867" s="0" t="n">
        <v>2024</v>
      </c>
      <c r="B867" s="0" t="s">
        <v>122</v>
      </c>
      <c r="C867" s="0" t="s">
        <v>123</v>
      </c>
      <c r="D867" s="0" t="s">
        <v>72</v>
      </c>
      <c r="E867" s="0" t="n">
        <v>844716</v>
      </c>
      <c r="F867" s="0" t="n">
        <v>27399</v>
      </c>
      <c r="G867" s="0" t="n">
        <v>27019</v>
      </c>
      <c r="H867" s="0" t="n">
        <v>22816</v>
      </c>
    </row>
    <row r="868" customFormat="false" ht="15" hidden="false" customHeight="false" outlineLevel="0" collapsed="false">
      <c r="A868" s="0" t="n">
        <v>2024</v>
      </c>
      <c r="B868" s="0" t="s">
        <v>125</v>
      </c>
      <c r="C868" s="0" t="s">
        <v>126</v>
      </c>
      <c r="D868" s="0" t="s">
        <v>72</v>
      </c>
      <c r="E868" s="0" t="n">
        <v>134169</v>
      </c>
      <c r="F868" s="0" t="n">
        <v>25135</v>
      </c>
      <c r="G868" s="0" t="n">
        <v>25292</v>
      </c>
      <c r="H868" s="0" t="n">
        <v>22565</v>
      </c>
    </row>
    <row r="869" customFormat="false" ht="15" hidden="false" customHeight="false" outlineLevel="0" collapsed="false">
      <c r="A869" s="0" t="n">
        <v>2024</v>
      </c>
      <c r="B869" s="0" t="s">
        <v>117</v>
      </c>
      <c r="C869" s="0" t="s">
        <v>118</v>
      </c>
      <c r="D869" s="0" t="s">
        <v>72</v>
      </c>
      <c r="E869" s="0" t="n">
        <v>165624</v>
      </c>
      <c r="F869" s="0" t="n">
        <v>25439</v>
      </c>
      <c r="G869" s="0" t="n">
        <v>25017</v>
      </c>
      <c r="H869" s="0" t="n">
        <v>21556</v>
      </c>
    </row>
    <row r="870" customFormat="false" ht="15" hidden="false" customHeight="false" outlineLevel="0" collapsed="false">
      <c r="A870" s="0" t="n">
        <v>2024</v>
      </c>
      <c r="B870" s="0" t="s">
        <v>120</v>
      </c>
      <c r="C870" s="0" t="s">
        <v>121</v>
      </c>
      <c r="D870" s="0" t="s">
        <v>74</v>
      </c>
      <c r="E870" s="0" t="n">
        <v>178379</v>
      </c>
      <c r="F870" s="0" t="n">
        <v>19327</v>
      </c>
      <c r="G870" s="0" t="n">
        <v>19891</v>
      </c>
      <c r="H870" s="0" t="n">
        <v>17970</v>
      </c>
    </row>
    <row r="871" customFormat="false" ht="15" hidden="false" customHeight="false" outlineLevel="0" collapsed="false">
      <c r="A871" s="0" t="n">
        <v>2024</v>
      </c>
      <c r="B871" s="0" t="s">
        <v>127</v>
      </c>
      <c r="C871" s="0" t="s">
        <v>128</v>
      </c>
      <c r="D871" s="0" t="s">
        <v>72</v>
      </c>
      <c r="E871" s="0" t="n">
        <v>810592</v>
      </c>
      <c r="F871" s="0" t="n">
        <v>29784</v>
      </c>
      <c r="G871" s="0" t="n">
        <v>27818</v>
      </c>
      <c r="H871" s="0" t="n">
        <v>25816</v>
      </c>
    </row>
    <row r="872" customFormat="false" ht="15" hidden="false" customHeight="false" outlineLevel="0" collapsed="false">
      <c r="A872" s="0" t="n">
        <v>2024</v>
      </c>
      <c r="B872" s="0" t="s">
        <v>135</v>
      </c>
      <c r="C872" s="0" t="s">
        <v>136</v>
      </c>
      <c r="D872" s="0" t="s">
        <v>74</v>
      </c>
      <c r="E872" s="0" t="n">
        <v>264230</v>
      </c>
      <c r="F872" s="0" t="n">
        <v>19504</v>
      </c>
      <c r="G872" s="0" t="n">
        <v>18922</v>
      </c>
      <c r="H872" s="0" t="n">
        <v>18871</v>
      </c>
    </row>
    <row r="873" customFormat="false" ht="15" hidden="false" customHeight="false" outlineLevel="0" collapsed="false">
      <c r="A873" s="0" t="n">
        <v>2024</v>
      </c>
      <c r="B873" s="0" t="s">
        <v>133</v>
      </c>
      <c r="C873" s="0" t="s">
        <v>134</v>
      </c>
      <c r="D873" s="0" t="s">
        <v>72</v>
      </c>
      <c r="E873" s="0" t="n">
        <v>951028</v>
      </c>
      <c r="F873" s="0" t="n">
        <v>26559</v>
      </c>
      <c r="G873" s="0" t="n">
        <v>25871</v>
      </c>
      <c r="H873" s="0" t="n">
        <v>21903</v>
      </c>
    </row>
    <row r="874" customFormat="false" ht="15" hidden="false" customHeight="false" outlineLevel="0" collapsed="false">
      <c r="A874" s="0" t="n">
        <v>2024</v>
      </c>
      <c r="B874" s="0" t="s">
        <v>115</v>
      </c>
      <c r="C874" s="0" t="s">
        <v>116</v>
      </c>
      <c r="D874" s="0" t="s">
        <v>74</v>
      </c>
      <c r="E874" s="0" t="n">
        <v>245358</v>
      </c>
      <c r="F874" s="0" t="n">
        <v>18139</v>
      </c>
      <c r="G874" s="0" t="n">
        <v>17975</v>
      </c>
      <c r="H874" s="0" t="n">
        <v>17902</v>
      </c>
    </row>
    <row r="875" customFormat="false" ht="15" hidden="false" customHeight="false" outlineLevel="0" collapsed="false">
      <c r="A875" s="0" t="n">
        <v>2024</v>
      </c>
      <c r="B875" s="0" t="s">
        <v>130</v>
      </c>
      <c r="C875" s="0" t="s">
        <v>131</v>
      </c>
      <c r="D875" s="0" t="s">
        <v>72</v>
      </c>
      <c r="E875" s="0" t="n">
        <v>451748</v>
      </c>
      <c r="F875" s="0" t="n">
        <v>28351</v>
      </c>
      <c r="G875" s="0" t="n">
        <v>25844</v>
      </c>
      <c r="H875" s="0" t="n">
        <v>23416</v>
      </c>
    </row>
    <row r="876" customFormat="false" ht="15" hidden="false" customHeight="false" outlineLevel="0" collapsed="false">
      <c r="A876" s="0" t="n">
        <v>2024</v>
      </c>
      <c r="B876" s="0" t="s">
        <v>137</v>
      </c>
      <c r="C876" s="0" t="s">
        <v>138</v>
      </c>
      <c r="D876" s="0" t="s">
        <v>75</v>
      </c>
      <c r="E876" s="0" t="n">
        <v>293820</v>
      </c>
      <c r="F876" s="0" t="n">
        <v>25319</v>
      </c>
      <c r="G876" s="0" t="n">
        <v>23192</v>
      </c>
      <c r="H876" s="0" t="n">
        <v>24895</v>
      </c>
    </row>
    <row r="877" customFormat="false" ht="15" hidden="false" customHeight="false" outlineLevel="0" collapsed="false">
      <c r="A877" s="0" t="n">
        <v>2024</v>
      </c>
      <c r="B877" s="0" t="s">
        <v>142</v>
      </c>
      <c r="C877" s="0" t="s">
        <v>143</v>
      </c>
      <c r="D877" s="0" t="s">
        <v>74</v>
      </c>
      <c r="E877" s="0" t="n">
        <v>152683</v>
      </c>
      <c r="F877" s="0" t="n">
        <v>19935</v>
      </c>
      <c r="G877" s="0" t="n">
        <v>20481</v>
      </c>
      <c r="H877" s="0" t="n">
        <v>18389</v>
      </c>
    </row>
    <row r="878" customFormat="false" ht="15" hidden="false" customHeight="false" outlineLevel="0" collapsed="false">
      <c r="A878" s="0" t="n">
        <v>2024</v>
      </c>
      <c r="B878" s="0" t="s">
        <v>145</v>
      </c>
      <c r="C878" s="0" t="s">
        <v>146</v>
      </c>
      <c r="D878" s="0" t="s">
        <v>74</v>
      </c>
      <c r="E878" s="0" t="n">
        <v>544671</v>
      </c>
      <c r="F878" s="0" t="n">
        <v>20306</v>
      </c>
      <c r="G878" s="0" t="n">
        <v>19409</v>
      </c>
      <c r="H878" s="0" t="n">
        <v>19691</v>
      </c>
    </row>
    <row r="879" customFormat="false" ht="15" hidden="false" customHeight="false" outlineLevel="0" collapsed="false">
      <c r="A879" s="0" t="n">
        <v>2024</v>
      </c>
      <c r="B879" s="0" t="s">
        <v>152</v>
      </c>
      <c r="C879" s="0" t="s">
        <v>153</v>
      </c>
      <c r="D879" s="0" t="s">
        <v>74</v>
      </c>
      <c r="E879" s="0" t="n">
        <v>275483</v>
      </c>
      <c r="F879" s="0" t="n">
        <v>21427</v>
      </c>
      <c r="G879" s="0" t="n">
        <v>21788</v>
      </c>
      <c r="H879" s="0" t="n">
        <v>19312</v>
      </c>
    </row>
    <row r="880" customFormat="false" ht="15" hidden="false" customHeight="false" outlineLevel="0" collapsed="false">
      <c r="A880" s="0" t="n">
        <v>2024</v>
      </c>
      <c r="B880" s="0" t="s">
        <v>140</v>
      </c>
      <c r="C880" s="0" t="s">
        <v>141</v>
      </c>
      <c r="D880" s="0" t="s">
        <v>75</v>
      </c>
      <c r="E880" s="0" t="n">
        <v>153029</v>
      </c>
      <c r="F880" s="0" t="n">
        <v>19024</v>
      </c>
      <c r="G880" s="0" t="n">
        <v>19957</v>
      </c>
      <c r="H880" s="0" t="n">
        <v>17998</v>
      </c>
    </row>
    <row r="881" customFormat="false" ht="15" hidden="false" customHeight="false" outlineLevel="0" collapsed="false">
      <c r="A881" s="0" t="n">
        <v>2024</v>
      </c>
      <c r="B881" s="0" t="s">
        <v>163</v>
      </c>
      <c r="C881" s="0" t="s">
        <v>164</v>
      </c>
      <c r="D881" s="0" t="s">
        <v>72</v>
      </c>
      <c r="E881" s="0" t="n">
        <v>452802</v>
      </c>
      <c r="F881" s="0" t="n">
        <v>25380</v>
      </c>
      <c r="G881" s="0" t="n">
        <v>24331</v>
      </c>
      <c r="H881" s="0" t="n">
        <v>21774</v>
      </c>
    </row>
    <row r="882" customFormat="false" ht="15" hidden="false" customHeight="false" outlineLevel="0" collapsed="false">
      <c r="A882" s="0" t="n">
        <v>2024</v>
      </c>
      <c r="B882" s="0" t="s">
        <v>155</v>
      </c>
      <c r="C882" s="0" t="s">
        <v>156</v>
      </c>
      <c r="D882" s="0" t="s">
        <v>72</v>
      </c>
      <c r="E882" s="0" t="n">
        <v>442014</v>
      </c>
      <c r="F882" s="0" t="n">
        <v>27138</v>
      </c>
      <c r="G882" s="0" t="n">
        <v>27039</v>
      </c>
      <c r="H882" s="0" t="n">
        <v>22659</v>
      </c>
    </row>
    <row r="883" customFormat="false" ht="15" hidden="false" customHeight="false" outlineLevel="0" collapsed="false">
      <c r="A883" s="0" t="n">
        <v>2024</v>
      </c>
      <c r="B883" s="0" t="s">
        <v>159</v>
      </c>
      <c r="C883" s="0" t="s">
        <v>160</v>
      </c>
      <c r="D883" s="0" t="s">
        <v>72</v>
      </c>
      <c r="E883" s="0" t="n">
        <v>271603</v>
      </c>
      <c r="F883" s="0" t="n">
        <v>26546</v>
      </c>
      <c r="G883" s="0" t="n">
        <v>25972</v>
      </c>
      <c r="H883" s="0" t="n">
        <v>22940</v>
      </c>
    </row>
    <row r="884" customFormat="false" ht="15" hidden="false" customHeight="false" outlineLevel="0" collapsed="false">
      <c r="A884" s="0" t="n">
        <v>2024</v>
      </c>
      <c r="B884" s="0" t="s">
        <v>157</v>
      </c>
      <c r="C884" s="0" t="s">
        <v>158</v>
      </c>
      <c r="D884" s="0" t="s">
        <v>74</v>
      </c>
      <c r="E884" s="0" t="n">
        <v>439076</v>
      </c>
      <c r="F884" s="0" t="n">
        <v>18263</v>
      </c>
      <c r="G884" s="0" t="n">
        <v>17397</v>
      </c>
      <c r="H884" s="0" t="n">
        <v>18062</v>
      </c>
    </row>
    <row r="885" customFormat="false" ht="15" hidden="false" customHeight="false" outlineLevel="0" collapsed="false">
      <c r="A885" s="0" t="n">
        <v>2024</v>
      </c>
      <c r="B885" s="0" t="s">
        <v>147</v>
      </c>
      <c r="C885" s="0" t="s">
        <v>148</v>
      </c>
      <c r="D885" s="0" t="s">
        <v>75</v>
      </c>
      <c r="E885" s="0" t="n">
        <v>629451</v>
      </c>
      <c r="F885" s="0" t="n">
        <v>21019</v>
      </c>
      <c r="G885" s="0" t="n">
        <v>20234</v>
      </c>
      <c r="H885" s="0" t="n">
        <v>19938</v>
      </c>
    </row>
    <row r="886" customFormat="false" ht="15" hidden="false" customHeight="false" outlineLevel="0" collapsed="false">
      <c r="A886" s="0" t="n">
        <v>2024</v>
      </c>
      <c r="B886" s="0" t="s">
        <v>149</v>
      </c>
      <c r="C886" s="0" t="s">
        <v>150</v>
      </c>
      <c r="D886" s="0" t="s">
        <v>74</v>
      </c>
      <c r="E886" s="0" t="n">
        <v>221990</v>
      </c>
      <c r="F886" s="0" t="n">
        <v>19346</v>
      </c>
      <c r="G886" s="0" t="n">
        <v>19063</v>
      </c>
      <c r="H886" s="0" t="n">
        <v>18898</v>
      </c>
    </row>
    <row r="887" customFormat="false" ht="15" hidden="false" customHeight="false" outlineLevel="0" collapsed="false">
      <c r="A887" s="0" t="n">
        <v>2024</v>
      </c>
      <c r="B887" s="0" t="s">
        <v>165</v>
      </c>
      <c r="C887" s="0" t="s">
        <v>166</v>
      </c>
      <c r="D887" s="0" t="s">
        <v>75</v>
      </c>
      <c r="E887" s="0" t="n">
        <v>98898</v>
      </c>
      <c r="F887" s="0" t="n">
        <v>18556</v>
      </c>
      <c r="G887" s="0" t="n">
        <v>19538</v>
      </c>
      <c r="H887" s="0" t="n">
        <v>16988</v>
      </c>
    </row>
    <row r="888" customFormat="false" ht="15" hidden="false" customHeight="false" outlineLevel="0" collapsed="false">
      <c r="A888" s="0" t="n">
        <v>2024</v>
      </c>
      <c r="B888" s="0" t="s">
        <v>175</v>
      </c>
      <c r="C888" s="0" t="s">
        <v>176</v>
      </c>
      <c r="D888" s="0" t="s">
        <v>72</v>
      </c>
      <c r="E888" s="0" t="n">
        <v>316685</v>
      </c>
      <c r="F888" s="0" t="n">
        <v>25353</v>
      </c>
      <c r="G888" s="0" t="n">
        <v>23446</v>
      </c>
      <c r="H888" s="0" t="n">
        <v>21581</v>
      </c>
    </row>
    <row r="889" customFormat="false" ht="15" hidden="false" customHeight="false" outlineLevel="0" collapsed="false">
      <c r="A889" s="0" t="n">
        <v>2024</v>
      </c>
      <c r="B889" s="0" t="s">
        <v>169</v>
      </c>
      <c r="C889" s="0" t="s">
        <v>170</v>
      </c>
      <c r="D889" s="0" t="s">
        <v>72</v>
      </c>
      <c r="E889" s="0" t="n">
        <v>273864</v>
      </c>
      <c r="F889" s="0" t="n">
        <v>25128</v>
      </c>
      <c r="G889" s="0" t="n">
        <v>23710</v>
      </c>
      <c r="H889" s="0" t="n">
        <v>22248</v>
      </c>
    </row>
    <row r="890" customFormat="false" ht="15" hidden="false" customHeight="false" outlineLevel="0" collapsed="false">
      <c r="A890" s="0" t="n">
        <v>2024</v>
      </c>
      <c r="B890" s="0" t="s">
        <v>173</v>
      </c>
      <c r="C890" s="0" t="s">
        <v>174</v>
      </c>
      <c r="D890" s="0" t="s">
        <v>74</v>
      </c>
      <c r="E890" s="0" t="n">
        <v>394328</v>
      </c>
      <c r="F890" s="0" t="n">
        <v>18201</v>
      </c>
      <c r="G890" s="0" t="n">
        <v>17708</v>
      </c>
      <c r="H890" s="0" t="n">
        <v>18335</v>
      </c>
    </row>
    <row r="891" customFormat="false" ht="15" hidden="false" customHeight="false" outlineLevel="0" collapsed="false">
      <c r="A891" s="0" t="n">
        <v>2024</v>
      </c>
      <c r="B891" s="0" t="s">
        <v>171</v>
      </c>
      <c r="C891" s="0" t="s">
        <v>172</v>
      </c>
      <c r="D891" s="0" t="s">
        <v>73</v>
      </c>
      <c r="E891" s="0" t="n">
        <v>769165</v>
      </c>
      <c r="F891" s="0" t="n">
        <v>27926</v>
      </c>
      <c r="G891" s="0" t="n">
        <v>25424</v>
      </c>
      <c r="H891" s="0" t="n">
        <v>24184</v>
      </c>
    </row>
    <row r="892" customFormat="false" ht="15" hidden="false" customHeight="false" outlineLevel="0" collapsed="false">
      <c r="A892" s="0" t="n">
        <v>2024</v>
      </c>
      <c r="B892" s="0" t="s">
        <v>167</v>
      </c>
      <c r="C892" s="0" t="s">
        <v>168</v>
      </c>
      <c r="D892" s="0" t="s">
        <v>73</v>
      </c>
      <c r="E892" s="0" t="n">
        <v>128170</v>
      </c>
      <c r="F892" s="0" t="n">
        <v>21979</v>
      </c>
      <c r="G892" s="0" t="n">
        <v>20713</v>
      </c>
      <c r="H892" s="0" t="n">
        <v>18832</v>
      </c>
    </row>
    <row r="893" customFormat="false" ht="15" hidden="false" customHeight="false" outlineLevel="0" collapsed="false">
      <c r="A893" s="0" t="n">
        <v>2024</v>
      </c>
      <c r="B893" s="0" t="s">
        <v>177</v>
      </c>
      <c r="C893" s="0" t="s">
        <v>178</v>
      </c>
      <c r="D893" s="0" t="s">
        <v>73</v>
      </c>
      <c r="E893" s="0" t="n">
        <v>316439</v>
      </c>
      <c r="F893" s="0" t="n">
        <v>21600</v>
      </c>
      <c r="G893" s="0" t="n">
        <v>21967</v>
      </c>
      <c r="H893" s="0" t="n">
        <v>19935</v>
      </c>
    </row>
    <row r="894" customFormat="false" ht="15" hidden="false" customHeight="false" outlineLevel="0" collapsed="false">
      <c r="A894" s="0" t="n">
        <v>2024</v>
      </c>
      <c r="B894" s="0" t="s">
        <v>180</v>
      </c>
      <c r="C894" s="0" t="s">
        <v>181</v>
      </c>
      <c r="D894" s="0" t="s">
        <v>72</v>
      </c>
      <c r="E894" s="0" t="n">
        <v>669269</v>
      </c>
      <c r="F894" s="0" t="n">
        <v>27544</v>
      </c>
      <c r="G894" s="0" t="n">
        <v>24956</v>
      </c>
      <c r="H894" s="0" t="n">
        <v>25179</v>
      </c>
    </row>
    <row r="895" customFormat="false" ht="15" hidden="false" customHeight="false" outlineLevel="0" collapsed="false">
      <c r="A895" s="0" t="n">
        <v>2024</v>
      </c>
      <c r="B895" s="0" t="s">
        <v>183</v>
      </c>
      <c r="C895" s="0" t="s">
        <v>184</v>
      </c>
      <c r="D895" s="0" t="s">
        <v>72</v>
      </c>
      <c r="E895" s="0" t="n">
        <v>112385</v>
      </c>
      <c r="F895" s="0" t="n">
        <v>24647</v>
      </c>
      <c r="G895" s="0" t="n">
        <v>23310</v>
      </c>
      <c r="H895" s="0" t="n">
        <v>23489</v>
      </c>
    </row>
    <row r="896" customFormat="false" ht="15" hidden="false" customHeight="false" outlineLevel="0" collapsed="false">
      <c r="A896" s="0" t="n">
        <v>2024</v>
      </c>
      <c r="B896" s="0" t="s">
        <v>186</v>
      </c>
      <c r="C896" s="0" t="s">
        <v>187</v>
      </c>
      <c r="D896" s="0" t="s">
        <v>73</v>
      </c>
      <c r="E896" s="0" t="n">
        <v>169055</v>
      </c>
      <c r="F896" s="0" t="n">
        <v>23344</v>
      </c>
      <c r="G896" s="0" t="n">
        <v>21230</v>
      </c>
      <c r="H896" s="0" t="n">
        <v>21952</v>
      </c>
    </row>
    <row r="897" customFormat="false" ht="15" hidden="false" customHeight="false" outlineLevel="0" collapsed="false">
      <c r="A897" s="0" t="n">
        <v>2024</v>
      </c>
      <c r="B897" s="0" t="s">
        <v>188</v>
      </c>
      <c r="C897" s="0" t="s">
        <v>189</v>
      </c>
      <c r="D897" s="0" t="s">
        <v>72</v>
      </c>
      <c r="E897" s="0" t="n">
        <v>156339</v>
      </c>
      <c r="F897" s="0" t="n">
        <v>21568</v>
      </c>
      <c r="G897" s="0" t="n">
        <v>19862</v>
      </c>
      <c r="H897" s="0" t="n">
        <v>20203</v>
      </c>
    </row>
    <row r="898" customFormat="false" ht="15" hidden="false" customHeight="false" outlineLevel="0" collapsed="false">
      <c r="A898" s="0" t="n">
        <v>2024</v>
      </c>
      <c r="B898" s="0" t="s">
        <v>190</v>
      </c>
      <c r="C898" s="0" t="s">
        <v>191</v>
      </c>
      <c r="D898" s="0" t="s">
        <v>74</v>
      </c>
      <c r="E898" s="0" t="n">
        <v>59135</v>
      </c>
      <c r="F898" s="0" t="n">
        <v>19900</v>
      </c>
      <c r="G898" s="0" t="n">
        <v>20472</v>
      </c>
      <c r="H898" s="0" t="n">
        <v>18450</v>
      </c>
    </row>
    <row r="899" customFormat="false" ht="15" hidden="false" customHeight="false" outlineLevel="0" collapsed="false">
      <c r="A899" s="0" t="n">
        <v>2024</v>
      </c>
      <c r="B899" s="0" t="s">
        <v>161</v>
      </c>
      <c r="C899" s="0" t="s">
        <v>162</v>
      </c>
      <c r="D899" s="0" t="s">
        <v>74</v>
      </c>
      <c r="E899" s="0" t="n">
        <v>95983</v>
      </c>
      <c r="F899" s="0" t="n">
        <v>17873</v>
      </c>
      <c r="G899" s="0" t="n">
        <v>16978</v>
      </c>
      <c r="H899" s="0" t="n">
        <v>16890</v>
      </c>
    </row>
    <row r="900" customFormat="false" ht="15" hidden="false" customHeight="false" outlineLevel="0" collapsed="false">
      <c r="A900" s="0" t="n">
        <v>2024</v>
      </c>
      <c r="B900" s="0" t="s">
        <v>200</v>
      </c>
      <c r="C900" s="0" t="s">
        <v>201</v>
      </c>
      <c r="D900" s="0" t="s">
        <v>72</v>
      </c>
      <c r="E900" s="0" t="n">
        <v>259126</v>
      </c>
      <c r="F900" s="0" t="n">
        <v>29538</v>
      </c>
      <c r="G900" s="0" t="n">
        <v>28653</v>
      </c>
      <c r="H900" s="0" t="n">
        <v>24171</v>
      </c>
    </row>
    <row r="901" customFormat="false" ht="15" hidden="false" customHeight="false" outlineLevel="0" collapsed="false">
      <c r="A901" s="0" t="n">
        <v>2024</v>
      </c>
      <c r="B901" s="0" t="s">
        <v>198</v>
      </c>
      <c r="C901" s="0" t="s">
        <v>199</v>
      </c>
      <c r="D901" s="0" t="s">
        <v>74</v>
      </c>
      <c r="E901" s="0" t="n">
        <v>538388</v>
      </c>
      <c r="F901" s="0" t="n">
        <v>19524</v>
      </c>
      <c r="G901" s="0" t="n">
        <v>18744</v>
      </c>
      <c r="H901" s="0" t="n">
        <v>18241</v>
      </c>
    </row>
    <row r="902" customFormat="false" ht="15" hidden="false" customHeight="false" outlineLevel="0" collapsed="false">
      <c r="A902" s="0" t="n">
        <v>2024</v>
      </c>
      <c r="B902" s="0" t="s">
        <v>202</v>
      </c>
      <c r="C902" s="0" t="s">
        <v>203</v>
      </c>
      <c r="D902" s="0" t="s">
        <v>73</v>
      </c>
      <c r="E902" s="0" t="n">
        <v>250865</v>
      </c>
      <c r="F902" s="0" t="n">
        <v>25408</v>
      </c>
      <c r="G902" s="0" t="n">
        <v>23105</v>
      </c>
      <c r="H902" s="0" t="n">
        <v>24021</v>
      </c>
    </row>
    <row r="903" customFormat="false" ht="15" hidden="false" customHeight="false" outlineLevel="0" collapsed="false">
      <c r="A903" s="0" t="n">
        <v>2024</v>
      </c>
      <c r="B903" s="0" t="s">
        <v>204</v>
      </c>
      <c r="C903" s="0" t="s">
        <v>205</v>
      </c>
      <c r="D903" s="0" t="s">
        <v>72</v>
      </c>
      <c r="E903" s="0" t="n">
        <v>172929</v>
      </c>
      <c r="F903" s="0" t="n">
        <v>26867</v>
      </c>
      <c r="G903" s="0" t="n">
        <v>26816</v>
      </c>
      <c r="H903" s="0" t="n">
        <v>23975</v>
      </c>
    </row>
    <row r="904" customFormat="false" ht="15" hidden="false" customHeight="false" outlineLevel="0" collapsed="false">
      <c r="A904" s="0" t="n">
        <v>2024</v>
      </c>
      <c r="B904" s="0" t="s">
        <v>196</v>
      </c>
      <c r="C904" s="0" t="s">
        <v>197</v>
      </c>
      <c r="D904" s="0" t="s">
        <v>73</v>
      </c>
      <c r="E904" s="0" t="n">
        <v>399679</v>
      </c>
      <c r="F904" s="0" t="n">
        <v>21481</v>
      </c>
      <c r="G904" s="0" t="n">
        <v>20964</v>
      </c>
      <c r="H904" s="0" t="n">
        <v>20602</v>
      </c>
    </row>
    <row r="905" customFormat="false" ht="15" hidden="false" customHeight="false" outlineLevel="0" collapsed="false">
      <c r="A905" s="0" t="n">
        <v>2024</v>
      </c>
      <c r="B905" s="0" t="s">
        <v>206</v>
      </c>
      <c r="C905" s="0" t="s">
        <v>207</v>
      </c>
      <c r="D905" s="0" t="s">
        <v>73</v>
      </c>
      <c r="E905" s="0" t="n">
        <v>290944</v>
      </c>
      <c r="F905" s="0" t="n">
        <v>25430</v>
      </c>
      <c r="G905" s="0" t="n">
        <v>24259</v>
      </c>
      <c r="H905" s="0" t="n">
        <v>21891</v>
      </c>
    </row>
    <row r="906" customFormat="false" ht="15" hidden="false" customHeight="false" outlineLevel="0" collapsed="false">
      <c r="A906" s="0" t="n">
        <v>2024</v>
      </c>
      <c r="B906" s="0" t="s">
        <v>222</v>
      </c>
      <c r="C906" s="0" t="s">
        <v>223</v>
      </c>
      <c r="D906" s="0" t="s">
        <v>72</v>
      </c>
      <c r="E906" s="0" t="n">
        <v>668983</v>
      </c>
      <c r="F906" s="0" t="n">
        <v>29495</v>
      </c>
      <c r="G906" s="0" t="n">
        <v>29975</v>
      </c>
      <c r="H906" s="0" t="n">
        <v>24875</v>
      </c>
    </row>
    <row r="907" customFormat="false" ht="15" hidden="false" customHeight="false" outlineLevel="0" collapsed="false">
      <c r="A907" s="0" t="n">
        <v>2024</v>
      </c>
      <c r="B907" s="0" t="s">
        <v>208</v>
      </c>
      <c r="C907" s="0" t="s">
        <v>209</v>
      </c>
      <c r="D907" s="0" t="s">
        <v>73</v>
      </c>
      <c r="E907" s="0" t="n">
        <v>233887</v>
      </c>
      <c r="F907" s="0" t="n">
        <v>23472</v>
      </c>
      <c r="G907" s="0" t="n">
        <v>21972</v>
      </c>
      <c r="H907" s="0" t="n">
        <v>20592</v>
      </c>
    </row>
    <row r="908" customFormat="false" ht="15" hidden="false" customHeight="false" outlineLevel="0" collapsed="false">
      <c r="A908" s="0" t="n">
        <v>2024</v>
      </c>
      <c r="B908" s="0" t="s">
        <v>217</v>
      </c>
      <c r="C908" s="0" t="s">
        <v>218</v>
      </c>
      <c r="D908" s="0" t="s">
        <v>75</v>
      </c>
      <c r="E908" s="0" t="n">
        <v>395083</v>
      </c>
      <c r="F908" s="0" t="n">
        <v>20881</v>
      </c>
      <c r="G908" s="0" t="n">
        <v>19713</v>
      </c>
      <c r="H908" s="0" t="n">
        <v>20167</v>
      </c>
    </row>
    <row r="909" customFormat="false" ht="15" hidden="false" customHeight="false" outlineLevel="0" collapsed="false">
      <c r="A909" s="0" t="n">
        <v>2024</v>
      </c>
      <c r="B909" s="0" t="s">
        <v>219</v>
      </c>
      <c r="C909" s="0" t="s">
        <v>50</v>
      </c>
      <c r="D909" s="0" t="s">
        <v>72</v>
      </c>
      <c r="E909" s="0" t="n">
        <v>2486066</v>
      </c>
      <c r="F909" s="0" t="n">
        <v>33959</v>
      </c>
      <c r="G909" s="0" t="n">
        <v>32997</v>
      </c>
      <c r="H909" s="0" t="n">
        <v>27212</v>
      </c>
    </row>
    <row r="910" customFormat="false" ht="15" hidden="false" customHeight="false" outlineLevel="0" collapsed="false">
      <c r="A910" s="0" t="n">
        <v>2024</v>
      </c>
      <c r="B910" s="0" t="s">
        <v>210</v>
      </c>
      <c r="C910" s="0" t="s">
        <v>211</v>
      </c>
      <c r="D910" s="0" t="s">
        <v>72</v>
      </c>
      <c r="E910" s="0" t="n">
        <v>310770</v>
      </c>
      <c r="F910" s="0" t="n">
        <v>26226</v>
      </c>
      <c r="G910" s="0" t="n">
        <v>24862</v>
      </c>
      <c r="H910" s="0" t="n">
        <v>21806</v>
      </c>
    </row>
    <row r="911" customFormat="false" ht="15" hidden="false" customHeight="false" outlineLevel="0" collapsed="false">
      <c r="A911" s="0" t="n">
        <v>2024</v>
      </c>
      <c r="B911" s="0" t="s">
        <v>220</v>
      </c>
      <c r="C911" s="0" t="s">
        <v>221</v>
      </c>
      <c r="D911" s="0" t="s">
        <v>72</v>
      </c>
      <c r="E911" s="0" t="n">
        <v>552276</v>
      </c>
      <c r="F911" s="0" t="n">
        <v>28273</v>
      </c>
      <c r="G911" s="0" t="n">
        <v>27021</v>
      </c>
      <c r="H911" s="0" t="n">
        <v>23740</v>
      </c>
    </row>
    <row r="912" customFormat="false" ht="15" hidden="false" customHeight="false" outlineLevel="0" collapsed="false">
      <c r="A912" s="0" t="n">
        <v>2024</v>
      </c>
      <c r="B912" s="0" t="s">
        <v>212</v>
      </c>
      <c r="C912" s="0" t="s">
        <v>213</v>
      </c>
      <c r="D912" s="0" t="s">
        <v>73</v>
      </c>
      <c r="E912" s="0" t="n">
        <v>141064</v>
      </c>
      <c r="F912" s="0" t="n">
        <v>24065</v>
      </c>
      <c r="G912" s="0" t="n">
        <v>23008</v>
      </c>
      <c r="H912" s="0" t="n">
        <v>22244</v>
      </c>
    </row>
    <row r="913" customFormat="false" ht="15" hidden="false" customHeight="false" outlineLevel="0" collapsed="false">
      <c r="A913" s="0" t="n">
        <v>2024</v>
      </c>
      <c r="B913" s="0" t="s">
        <v>214</v>
      </c>
      <c r="C913" s="0" t="s">
        <v>215</v>
      </c>
      <c r="D913" s="0" t="s">
        <v>74</v>
      </c>
      <c r="E913" s="0" t="n">
        <v>134063</v>
      </c>
      <c r="F913" s="0" t="n">
        <v>19643</v>
      </c>
      <c r="G913" s="0" t="n">
        <v>19328</v>
      </c>
      <c r="H913" s="0" t="n">
        <v>19288</v>
      </c>
    </row>
    <row r="914" customFormat="false" ht="15" hidden="false" customHeight="false" outlineLevel="0" collapsed="false">
      <c r="A914" s="0" t="n">
        <v>2024</v>
      </c>
      <c r="B914" s="0" t="s">
        <v>224</v>
      </c>
      <c r="C914" s="0" t="s">
        <v>51</v>
      </c>
      <c r="D914" s="0" t="s">
        <v>74</v>
      </c>
      <c r="E914" s="0" t="n">
        <v>1677856</v>
      </c>
      <c r="F914" s="0" t="n">
        <v>21968</v>
      </c>
      <c r="G914" s="0" t="n">
        <v>20456</v>
      </c>
      <c r="H914" s="0" t="n">
        <v>21158</v>
      </c>
    </row>
    <row r="915" customFormat="false" ht="15" hidden="false" customHeight="false" outlineLevel="0" collapsed="false">
      <c r="A915" s="0" t="n">
        <v>2024</v>
      </c>
      <c r="B915" s="0" t="s">
        <v>225</v>
      </c>
      <c r="C915" s="0" t="s">
        <v>226</v>
      </c>
      <c r="D915" s="0" t="s">
        <v>72</v>
      </c>
      <c r="E915" s="0" t="n">
        <v>277369</v>
      </c>
      <c r="F915" s="0" t="n">
        <v>26571</v>
      </c>
      <c r="G915" s="0" t="n">
        <v>26491</v>
      </c>
      <c r="H915" s="0" t="n">
        <v>23931</v>
      </c>
    </row>
    <row r="916" customFormat="false" ht="15" hidden="false" customHeight="false" outlineLevel="0" collapsed="false">
      <c r="A916" s="0" t="n">
        <v>2024</v>
      </c>
      <c r="B916" s="0" t="s">
        <v>227</v>
      </c>
      <c r="C916" s="0" t="s">
        <v>228</v>
      </c>
      <c r="D916" s="0" t="s">
        <v>75</v>
      </c>
      <c r="E916" s="0" t="n">
        <v>142329</v>
      </c>
      <c r="F916" s="0" t="n">
        <v>19642</v>
      </c>
      <c r="G916" s="0" t="n">
        <v>18951</v>
      </c>
      <c r="H916" s="0" t="n">
        <v>18859</v>
      </c>
    </row>
    <row r="917" customFormat="false" ht="15" hidden="false" customHeight="false" outlineLevel="0" collapsed="false">
      <c r="A917" s="0" t="n">
        <v>2024</v>
      </c>
      <c r="B917" s="0" t="s">
        <v>229</v>
      </c>
      <c r="C917" s="0" t="s">
        <v>230</v>
      </c>
      <c r="D917" s="0" t="s">
        <v>75</v>
      </c>
      <c r="E917" s="0" t="n">
        <v>105930</v>
      </c>
      <c r="F917" s="0" t="n">
        <v>19528</v>
      </c>
      <c r="G917" s="0" t="n">
        <v>19571</v>
      </c>
      <c r="H917" s="0" t="n">
        <v>18866</v>
      </c>
    </row>
    <row r="918" customFormat="false" ht="15" hidden="false" customHeight="false" outlineLevel="0" collapsed="false">
      <c r="A918" s="0" t="n">
        <v>2024</v>
      </c>
      <c r="B918" s="0" t="s">
        <v>233</v>
      </c>
      <c r="C918" s="0" t="s">
        <v>234</v>
      </c>
      <c r="D918" s="0" t="s">
        <v>75</v>
      </c>
      <c r="E918" s="0" t="n">
        <v>706163</v>
      </c>
      <c r="F918" s="0" t="n">
        <v>21878</v>
      </c>
      <c r="G918" s="0" t="n">
        <v>20379</v>
      </c>
      <c r="H918" s="0" t="n">
        <v>21616</v>
      </c>
    </row>
    <row r="919" customFormat="false" ht="15" hidden="false" customHeight="false" outlineLevel="0" collapsed="false">
      <c r="A919" s="0" t="n">
        <v>2024</v>
      </c>
      <c r="B919" s="0" t="s">
        <v>246</v>
      </c>
      <c r="C919" s="0" t="s">
        <v>247</v>
      </c>
      <c r="D919" s="0" t="s">
        <v>72</v>
      </c>
      <c r="E919" s="0" t="n">
        <v>224896</v>
      </c>
      <c r="F919" s="0" t="n">
        <v>27755</v>
      </c>
      <c r="G919" s="0" t="n">
        <v>26051</v>
      </c>
      <c r="H919" s="0" t="n">
        <v>23313</v>
      </c>
    </row>
    <row r="920" customFormat="false" ht="15" hidden="false" customHeight="false" outlineLevel="0" collapsed="false">
      <c r="A920" s="0" t="n">
        <v>2024</v>
      </c>
      <c r="B920" s="0" t="s">
        <v>231</v>
      </c>
      <c r="C920" s="0" t="s">
        <v>232</v>
      </c>
      <c r="D920" s="0" t="s">
        <v>72</v>
      </c>
      <c r="E920" s="0" t="n">
        <v>718615</v>
      </c>
      <c r="F920" s="0" t="n">
        <v>27623</v>
      </c>
      <c r="G920" s="0" t="n">
        <v>26229</v>
      </c>
      <c r="H920" s="0" t="n">
        <v>22755</v>
      </c>
    </row>
    <row r="921" customFormat="false" ht="15" hidden="false" customHeight="false" outlineLevel="0" collapsed="false">
      <c r="A921" s="0" t="n">
        <v>2024</v>
      </c>
      <c r="B921" s="0" t="s">
        <v>244</v>
      </c>
      <c r="C921" s="0" t="s">
        <v>245</v>
      </c>
      <c r="D921" s="0" t="s">
        <v>74</v>
      </c>
      <c r="E921" s="0" t="n">
        <v>227047</v>
      </c>
      <c r="F921" s="0" t="n">
        <v>23361</v>
      </c>
      <c r="G921" s="0" t="n">
        <v>22769</v>
      </c>
      <c r="H921" s="0" t="n">
        <v>20905</v>
      </c>
    </row>
    <row r="922" customFormat="false" ht="15" hidden="false" customHeight="false" outlineLevel="0" collapsed="false">
      <c r="A922" s="0" t="n">
        <v>2024</v>
      </c>
      <c r="B922" s="0" t="s">
        <v>239</v>
      </c>
      <c r="C922" s="0" t="s">
        <v>240</v>
      </c>
      <c r="D922" s="0" t="s">
        <v>73</v>
      </c>
      <c r="E922" s="0" t="n">
        <v>483059</v>
      </c>
      <c r="F922" s="0" t="n">
        <v>24491</v>
      </c>
      <c r="G922" s="0" t="n">
        <v>22996</v>
      </c>
      <c r="H922" s="0" t="n">
        <v>21512</v>
      </c>
    </row>
    <row r="923" customFormat="false" ht="15" hidden="false" customHeight="false" outlineLevel="0" collapsed="false">
      <c r="A923" s="0" t="n">
        <v>2024</v>
      </c>
      <c r="B923" s="0" t="s">
        <v>248</v>
      </c>
      <c r="C923" s="0" t="s">
        <v>249</v>
      </c>
      <c r="D923" s="0" t="s">
        <v>73</v>
      </c>
      <c r="E923" s="0" t="n">
        <v>315778</v>
      </c>
      <c r="F923" s="0" t="n">
        <v>25499</v>
      </c>
      <c r="G923" s="0" t="n">
        <v>24894</v>
      </c>
      <c r="H923" s="0" t="n">
        <v>23266</v>
      </c>
    </row>
    <row r="924" customFormat="false" ht="15" hidden="false" customHeight="false" outlineLevel="0" collapsed="false">
      <c r="A924" s="0" t="n">
        <v>2024</v>
      </c>
      <c r="B924" s="0" t="s">
        <v>252</v>
      </c>
      <c r="C924" s="0" t="s">
        <v>253</v>
      </c>
      <c r="D924" s="0" t="s">
        <v>72</v>
      </c>
      <c r="E924" s="0" t="n">
        <v>245146</v>
      </c>
      <c r="F924" s="0" t="n">
        <v>26291</v>
      </c>
      <c r="G924" s="0" t="n">
        <v>25120</v>
      </c>
      <c r="H924" s="0" t="n">
        <v>22297</v>
      </c>
    </row>
    <row r="925" customFormat="false" ht="15" hidden="false" customHeight="false" outlineLevel="0" collapsed="false">
      <c r="A925" s="0" t="n">
        <v>2024</v>
      </c>
      <c r="B925" s="0" t="s">
        <v>256</v>
      </c>
      <c r="C925" s="0" t="s">
        <v>257</v>
      </c>
      <c r="D925" s="0" t="s">
        <v>73</v>
      </c>
      <c r="E925" s="0" t="n">
        <v>204830</v>
      </c>
      <c r="F925" s="0" t="n">
        <v>24675</v>
      </c>
      <c r="G925" s="0" t="n">
        <v>21602</v>
      </c>
      <c r="H925" s="0" t="n">
        <v>21798</v>
      </c>
    </row>
    <row r="926" customFormat="false" ht="15" hidden="false" customHeight="false" outlineLevel="0" collapsed="false">
      <c r="A926" s="0" t="n">
        <v>2024</v>
      </c>
      <c r="B926" s="0" t="s">
        <v>235</v>
      </c>
      <c r="C926" s="0" t="s">
        <v>236</v>
      </c>
      <c r="D926" s="0" t="s">
        <v>72</v>
      </c>
      <c r="E926" s="0" t="n">
        <v>352432</v>
      </c>
      <c r="F926" s="0" t="n">
        <v>29424</v>
      </c>
      <c r="G926" s="0" t="n">
        <v>27733</v>
      </c>
      <c r="H926" s="0" t="n">
        <v>24529</v>
      </c>
    </row>
    <row r="927" customFormat="false" ht="15" hidden="false" customHeight="false" outlineLevel="0" collapsed="false">
      <c r="A927" s="0" t="n">
        <v>2024</v>
      </c>
      <c r="B927" s="0" t="s">
        <v>250</v>
      </c>
      <c r="C927" s="0" t="s">
        <v>251</v>
      </c>
      <c r="D927" s="0" t="s">
        <v>73</v>
      </c>
      <c r="E927" s="0" t="n">
        <v>218768</v>
      </c>
      <c r="F927" s="0" t="n">
        <v>24012</v>
      </c>
      <c r="G927" s="0" t="n">
        <v>23137</v>
      </c>
      <c r="H927" s="0" t="n">
        <v>20891</v>
      </c>
    </row>
    <row r="928" customFormat="false" ht="15" hidden="false" customHeight="false" outlineLevel="0" collapsed="false">
      <c r="A928" s="0" t="n">
        <v>2024</v>
      </c>
      <c r="B928" s="0" t="s">
        <v>242</v>
      </c>
      <c r="C928" s="0" t="s">
        <v>243</v>
      </c>
      <c r="D928" s="0" t="s">
        <v>73</v>
      </c>
      <c r="E928" s="0" t="n">
        <v>274180</v>
      </c>
      <c r="F928" s="0" t="n">
        <v>24615</v>
      </c>
      <c r="G928" s="0" t="n">
        <v>23069</v>
      </c>
      <c r="H928" s="0" t="n">
        <v>20705</v>
      </c>
    </row>
    <row r="929" customFormat="false" ht="15" hidden="false" customHeight="false" outlineLevel="0" collapsed="false">
      <c r="A929" s="0" t="n">
        <v>2024</v>
      </c>
      <c r="B929" s="0" t="s">
        <v>237</v>
      </c>
      <c r="C929" s="0" t="s">
        <v>238</v>
      </c>
      <c r="D929" s="0" t="s">
        <v>72</v>
      </c>
      <c r="E929" s="0" t="n">
        <v>411173</v>
      </c>
      <c r="F929" s="0" t="n">
        <v>26677</v>
      </c>
      <c r="G929" s="0" t="n">
        <v>25764</v>
      </c>
      <c r="H929" s="0" t="n">
        <v>23360</v>
      </c>
    </row>
    <row r="930" customFormat="false" ht="15" hidden="false" customHeight="false" outlineLevel="0" collapsed="false">
      <c r="A930" s="0" t="n">
        <v>2024</v>
      </c>
      <c r="B930" s="0" t="s">
        <v>254</v>
      </c>
      <c r="C930" s="0" t="s">
        <v>255</v>
      </c>
      <c r="D930" s="0" t="s">
        <v>74</v>
      </c>
      <c r="E930" s="0" t="n">
        <v>241257</v>
      </c>
      <c r="F930" s="0" t="n">
        <v>20503</v>
      </c>
      <c r="G930" s="0" t="n">
        <v>20806</v>
      </c>
      <c r="H930" s="0" t="n">
        <v>18213</v>
      </c>
    </row>
    <row r="931" customFormat="false" ht="15" hidden="false" customHeight="false" outlineLevel="0" collapsed="false">
      <c r="A931" s="0" t="n">
        <v>2024</v>
      </c>
      <c r="B931" s="0" t="s">
        <v>260</v>
      </c>
      <c r="C931" s="0" t="s">
        <v>261</v>
      </c>
      <c r="D931" s="0" t="s">
        <v>72</v>
      </c>
      <c r="E931" s="0" t="n">
        <v>313000</v>
      </c>
      <c r="F931" s="0" t="n">
        <v>25673</v>
      </c>
      <c r="G931" s="0" t="n">
        <v>24177</v>
      </c>
      <c r="H931" s="0" t="n">
        <v>22819</v>
      </c>
    </row>
    <row r="932" customFormat="false" ht="15" hidden="false" customHeight="false" outlineLevel="0" collapsed="false">
      <c r="A932" s="0" t="n">
        <v>2024</v>
      </c>
      <c r="B932" s="0" t="s">
        <v>262</v>
      </c>
      <c r="C932" s="0" t="s">
        <v>263</v>
      </c>
      <c r="D932" s="0" t="s">
        <v>74</v>
      </c>
      <c r="E932" s="0" t="n">
        <v>328810</v>
      </c>
      <c r="F932" s="0" t="n">
        <v>19323</v>
      </c>
      <c r="G932" s="0" t="n">
        <v>18001</v>
      </c>
      <c r="H932" s="0" t="n">
        <v>18657</v>
      </c>
    </row>
    <row r="933" customFormat="false" ht="15" hidden="false" customHeight="false" outlineLevel="0" collapsed="false">
      <c r="A933" s="0" t="n">
        <v>2024</v>
      </c>
      <c r="B933" s="0" t="s">
        <v>264</v>
      </c>
      <c r="C933" s="0" t="s">
        <v>265</v>
      </c>
      <c r="D933" s="0" t="s">
        <v>72</v>
      </c>
      <c r="E933" s="0" t="n">
        <v>406017</v>
      </c>
      <c r="F933" s="0" t="n">
        <v>27963</v>
      </c>
      <c r="G933" s="0" t="n">
        <v>26527</v>
      </c>
      <c r="H933" s="0" t="n">
        <v>23733</v>
      </c>
    </row>
    <row r="934" customFormat="false" ht="15" hidden="false" customHeight="false" outlineLevel="0" collapsed="false">
      <c r="A934" s="0" t="n">
        <v>2024</v>
      </c>
      <c r="B934" s="0" t="s">
        <v>258</v>
      </c>
      <c r="C934" s="0" t="s">
        <v>259</v>
      </c>
      <c r="D934" s="0" t="s">
        <v>75</v>
      </c>
      <c r="E934" s="0" t="n">
        <v>213414</v>
      </c>
      <c r="F934" s="0" t="n">
        <v>17658</v>
      </c>
      <c r="G934" s="0" t="n">
        <v>17084</v>
      </c>
      <c r="H934" s="0" t="n">
        <v>18215</v>
      </c>
    </row>
    <row r="935" customFormat="false" ht="15" hidden="false" customHeight="false" outlineLevel="0" collapsed="false">
      <c r="A935" s="0" t="n">
        <v>2024</v>
      </c>
      <c r="B935" s="0" t="s">
        <v>266</v>
      </c>
      <c r="C935" s="0" t="s">
        <v>267</v>
      </c>
      <c r="D935" s="0" t="s">
        <v>73</v>
      </c>
      <c r="E935" s="0" t="n">
        <v>108438</v>
      </c>
      <c r="F935" s="0" t="n">
        <v>22564</v>
      </c>
      <c r="G935" s="0" t="n">
        <v>21980</v>
      </c>
      <c r="H935" s="0" t="n">
        <v>22373</v>
      </c>
    </row>
    <row r="936" customFormat="false" ht="15" hidden="false" customHeight="false" outlineLevel="0" collapsed="false">
      <c r="A936" s="0" t="n">
        <v>2024</v>
      </c>
      <c r="B936" s="0" t="s">
        <v>270</v>
      </c>
      <c r="C936" s="0" t="s">
        <v>271</v>
      </c>
      <c r="D936" s="0" t="s">
        <v>73</v>
      </c>
      <c r="E936" s="0" t="n">
        <v>3001253</v>
      </c>
      <c r="F936" s="0" t="n">
        <v>29513</v>
      </c>
      <c r="G936" s="0" t="n">
        <v>27277</v>
      </c>
      <c r="H936" s="0" t="n">
        <v>26979</v>
      </c>
    </row>
    <row r="937" customFormat="false" ht="15" hidden="false" customHeight="false" outlineLevel="0" collapsed="false">
      <c r="A937" s="0" t="n">
        <v>2024</v>
      </c>
      <c r="B937" s="0" t="s">
        <v>268</v>
      </c>
      <c r="C937" s="0" t="s">
        <v>269</v>
      </c>
      <c r="D937" s="0" t="s">
        <v>72</v>
      </c>
      <c r="E937" s="0" t="n">
        <v>273731</v>
      </c>
      <c r="F937" s="0" t="n">
        <v>23118</v>
      </c>
      <c r="G937" s="0" t="n">
        <v>21059</v>
      </c>
      <c r="H937" s="0" t="n">
        <v>20195</v>
      </c>
    </row>
    <row r="938" customFormat="false" ht="15" hidden="false" customHeight="false" outlineLevel="0" collapsed="false">
      <c r="A938" s="0" t="n">
        <v>2024</v>
      </c>
      <c r="B938" s="0" t="s">
        <v>272</v>
      </c>
      <c r="C938" s="0" t="s">
        <v>273</v>
      </c>
      <c r="D938" s="0" t="s">
        <v>72</v>
      </c>
      <c r="E938" s="0" t="n">
        <v>182460</v>
      </c>
      <c r="F938" s="0" t="n">
        <v>23333</v>
      </c>
      <c r="G938" s="0" t="n">
        <v>22599</v>
      </c>
      <c r="H938" s="0" t="n">
        <v>20663</v>
      </c>
    </row>
    <row r="939" customFormat="false" ht="15" hidden="false" customHeight="false" outlineLevel="0" collapsed="false">
      <c r="A939" s="0" t="n">
        <v>2024</v>
      </c>
      <c r="B939" s="0" t="s">
        <v>274</v>
      </c>
      <c r="C939" s="0" t="s">
        <v>275</v>
      </c>
      <c r="D939" s="0" t="s">
        <v>74</v>
      </c>
      <c r="E939" s="0" t="n">
        <v>696824</v>
      </c>
      <c r="F939" s="0" t="n">
        <v>20249</v>
      </c>
      <c r="G939" s="0" t="n">
        <v>19157</v>
      </c>
      <c r="H939" s="0" t="n">
        <v>19019</v>
      </c>
    </row>
    <row r="940" customFormat="false" ht="15" hidden="false" customHeight="false" outlineLevel="0" collapsed="false">
      <c r="A940" s="0" t="n">
        <v>2024</v>
      </c>
      <c r="B940" s="0" t="s">
        <v>280</v>
      </c>
      <c r="C940" s="0" t="s">
        <v>281</v>
      </c>
      <c r="D940" s="0" t="s">
        <v>73</v>
      </c>
      <c r="E940" s="0" t="n">
        <v>205134</v>
      </c>
      <c r="F940" s="0" t="n">
        <v>26341</v>
      </c>
      <c r="G940" s="0" t="n">
        <v>23961</v>
      </c>
      <c r="H940" s="0" t="n">
        <v>23611</v>
      </c>
    </row>
    <row r="941" customFormat="false" ht="15" hidden="false" customHeight="false" outlineLevel="0" collapsed="false">
      <c r="A941" s="0" t="n">
        <v>2024</v>
      </c>
      <c r="B941" s="0" t="s">
        <v>284</v>
      </c>
      <c r="C941" s="0" t="s">
        <v>285</v>
      </c>
      <c r="D941" s="0" t="s">
        <v>72</v>
      </c>
      <c r="E941" s="0" t="n">
        <v>139928</v>
      </c>
      <c r="F941" s="0" t="n">
        <v>24470</v>
      </c>
      <c r="G941" s="0" t="n">
        <v>23460</v>
      </c>
      <c r="H941" s="0" t="n">
        <v>20612</v>
      </c>
    </row>
    <row r="942" customFormat="false" ht="15" hidden="false" customHeight="false" outlineLevel="0" collapsed="false">
      <c r="A942" s="0" t="n">
        <v>2024</v>
      </c>
      <c r="B942" s="0" t="s">
        <v>194</v>
      </c>
      <c r="C942" s="0" t="s">
        <v>195</v>
      </c>
      <c r="D942" s="0" t="s">
        <v>72</v>
      </c>
      <c r="E942" s="0" t="n">
        <v>166168</v>
      </c>
      <c r="F942" s="0" t="n">
        <v>25984</v>
      </c>
      <c r="G942" s="0" t="n">
        <v>24508</v>
      </c>
      <c r="H942" s="0" t="n">
        <v>23881</v>
      </c>
    </row>
    <row r="943" customFormat="false" ht="15" hidden="false" customHeight="false" outlineLevel="0" collapsed="false">
      <c r="A943" s="0" t="n">
        <v>2024</v>
      </c>
      <c r="B943" s="0" t="s">
        <v>282</v>
      </c>
      <c r="C943" s="0" t="s">
        <v>283</v>
      </c>
      <c r="D943" s="0" t="s">
        <v>75</v>
      </c>
      <c r="E943" s="0" t="n">
        <v>240155</v>
      </c>
      <c r="F943" s="0" t="n">
        <v>20613</v>
      </c>
      <c r="G943" s="0" t="n">
        <v>20097</v>
      </c>
      <c r="H943" s="0" t="n">
        <v>20380</v>
      </c>
    </row>
    <row r="944" customFormat="false" ht="15" hidden="false" customHeight="false" outlineLevel="0" collapsed="false">
      <c r="A944" s="0" t="n">
        <v>2024</v>
      </c>
      <c r="B944" s="0" t="s">
        <v>276</v>
      </c>
      <c r="C944" s="0" t="s">
        <v>277</v>
      </c>
      <c r="D944" s="0" t="s">
        <v>75</v>
      </c>
      <c r="E944" s="0" t="n">
        <v>341541</v>
      </c>
      <c r="F944" s="0" t="n">
        <v>21169</v>
      </c>
      <c r="G944" s="0" t="n">
        <v>20199</v>
      </c>
      <c r="H944" s="0" t="n">
        <v>20852</v>
      </c>
    </row>
    <row r="945" customFormat="false" ht="15" hidden="false" customHeight="false" outlineLevel="0" collapsed="false">
      <c r="A945" s="0" t="n">
        <v>2024</v>
      </c>
      <c r="B945" s="0" t="s">
        <v>286</v>
      </c>
      <c r="C945" s="0" t="s">
        <v>287</v>
      </c>
      <c r="D945" s="0" t="s">
        <v>75</v>
      </c>
      <c r="E945" s="0" t="n">
        <v>229681</v>
      </c>
      <c r="F945" s="0" t="n">
        <v>19217</v>
      </c>
      <c r="G945" s="0" t="n">
        <v>19189</v>
      </c>
      <c r="H945" s="0" t="n">
        <v>18310</v>
      </c>
    </row>
    <row r="946" customFormat="false" ht="15" hidden="false" customHeight="false" outlineLevel="0" collapsed="false">
      <c r="A946" s="0" t="n">
        <v>2024</v>
      </c>
      <c r="B946" s="0" t="s">
        <v>278</v>
      </c>
      <c r="C946" s="0" t="s">
        <v>279</v>
      </c>
      <c r="D946" s="0" t="s">
        <v>72</v>
      </c>
      <c r="E946" s="0" t="n">
        <v>211345</v>
      </c>
      <c r="F946" s="0" t="n">
        <v>25456</v>
      </c>
      <c r="G946" s="0" t="n">
        <v>22995</v>
      </c>
      <c r="H946" s="0" t="n">
        <v>22570</v>
      </c>
    </row>
    <row r="947" customFormat="false" ht="15" hidden="false" customHeight="false" outlineLevel="0" collapsed="false">
      <c r="A947" s="0" t="n">
        <v>2024</v>
      </c>
      <c r="B947" s="0" t="s">
        <v>288</v>
      </c>
      <c r="C947" s="0" t="s">
        <v>289</v>
      </c>
      <c r="D947" s="0" t="s">
        <v>74</v>
      </c>
      <c r="E947" s="0" t="n">
        <v>375421</v>
      </c>
      <c r="F947" s="0" t="n">
        <v>20554</v>
      </c>
      <c r="G947" s="0" t="n">
        <v>19640</v>
      </c>
      <c r="H947" s="0" t="n">
        <v>20798</v>
      </c>
    </row>
    <row r="948" customFormat="false" ht="15" hidden="false" customHeight="false" outlineLevel="0" collapsed="false">
      <c r="A948" s="0" t="n">
        <v>2024</v>
      </c>
      <c r="B948" s="0" t="s">
        <v>290</v>
      </c>
      <c r="C948" s="0" t="s">
        <v>291</v>
      </c>
      <c r="D948" s="0" t="s">
        <v>74</v>
      </c>
      <c r="E948" s="0" t="n">
        <v>226199</v>
      </c>
      <c r="F948" s="0" t="n">
        <v>21100</v>
      </c>
      <c r="G948" s="0" t="n">
        <v>20738</v>
      </c>
      <c r="H948" s="0" t="n">
        <v>18930</v>
      </c>
    </row>
    <row r="949" customFormat="false" ht="15" hidden="false" customHeight="false" outlineLevel="0" collapsed="false">
      <c r="A949" s="0" t="n">
        <v>2024</v>
      </c>
      <c r="B949" s="0" t="s">
        <v>298</v>
      </c>
      <c r="C949" s="0" t="s">
        <v>299</v>
      </c>
      <c r="D949" s="0" t="s">
        <v>72</v>
      </c>
      <c r="E949" s="0" t="n">
        <v>447073</v>
      </c>
      <c r="F949" s="0" t="n">
        <v>26771</v>
      </c>
      <c r="G949" s="0" t="n">
        <v>23821</v>
      </c>
      <c r="H949" s="0" t="n">
        <v>23072</v>
      </c>
    </row>
    <row r="950" customFormat="false" ht="15" hidden="false" customHeight="false" outlineLevel="0" collapsed="false">
      <c r="A950" s="0" t="n">
        <v>2024</v>
      </c>
      <c r="B950" s="0" t="s">
        <v>294</v>
      </c>
      <c r="C950" s="0" t="s">
        <v>295</v>
      </c>
      <c r="D950" s="0" t="s">
        <v>72</v>
      </c>
      <c r="E950" s="0" t="n">
        <v>1671705</v>
      </c>
      <c r="F950" s="0" t="n">
        <v>28048</v>
      </c>
      <c r="G950" s="0" t="n">
        <v>26774</v>
      </c>
      <c r="H950" s="0" t="n">
        <v>24687</v>
      </c>
    </row>
    <row r="951" customFormat="false" ht="15" hidden="false" customHeight="false" outlineLevel="0" collapsed="false">
      <c r="A951" s="0" t="n">
        <v>2024</v>
      </c>
      <c r="B951" s="0" t="s">
        <v>296</v>
      </c>
      <c r="C951" s="0" t="s">
        <v>297</v>
      </c>
      <c r="D951" s="0" t="s">
        <v>75</v>
      </c>
      <c r="E951" s="0" t="n">
        <v>266390</v>
      </c>
      <c r="F951" s="0" t="n">
        <v>19099</v>
      </c>
      <c r="G951" s="0" t="n">
        <v>18762</v>
      </c>
      <c r="H951" s="0" t="n">
        <v>18689</v>
      </c>
    </row>
    <row r="952" customFormat="false" ht="15" hidden="false" customHeight="false" outlineLevel="0" collapsed="false">
      <c r="A952" s="0" t="n">
        <v>2024</v>
      </c>
      <c r="B952" s="0" t="s">
        <v>292</v>
      </c>
      <c r="C952" s="0" t="s">
        <v>293</v>
      </c>
      <c r="D952" s="0" t="s">
        <v>73</v>
      </c>
      <c r="E952" s="0" t="n">
        <v>160468</v>
      </c>
      <c r="F952" s="0" t="n">
        <v>23937</v>
      </c>
      <c r="G952" s="0" t="n">
        <v>22709</v>
      </c>
      <c r="H952" s="0" t="n">
        <v>22343</v>
      </c>
    </row>
    <row r="953" customFormat="false" ht="15" hidden="false" customHeight="false" outlineLevel="0" collapsed="false">
      <c r="A953" s="0" t="n">
        <v>2024</v>
      </c>
      <c r="B953" s="0" t="s">
        <v>302</v>
      </c>
      <c r="C953" s="0" t="s">
        <v>303</v>
      </c>
      <c r="D953" s="0" t="s">
        <v>72</v>
      </c>
      <c r="E953" s="0" t="n">
        <v>185153</v>
      </c>
      <c r="F953" s="0" t="n">
        <v>26190</v>
      </c>
      <c r="G953" s="0" t="n">
        <v>26306</v>
      </c>
      <c r="H953" s="0" t="n">
        <v>25474</v>
      </c>
    </row>
    <row r="954" customFormat="false" ht="15" hidden="false" customHeight="false" outlineLevel="0" collapsed="false">
      <c r="A954" s="0" t="n">
        <v>2024</v>
      </c>
      <c r="B954" s="0" t="s">
        <v>300</v>
      </c>
      <c r="C954" s="0" t="s">
        <v>301</v>
      </c>
      <c r="D954" s="0" t="s">
        <v>72</v>
      </c>
      <c r="E954" s="0" t="n">
        <v>679509</v>
      </c>
      <c r="F954" s="0" t="n">
        <v>26366</v>
      </c>
      <c r="G954" s="0" t="n">
        <v>25789</v>
      </c>
      <c r="H954" s="0" t="n">
        <v>21826</v>
      </c>
    </row>
    <row r="955" customFormat="false" ht="15" hidden="false" customHeight="false" outlineLevel="0" collapsed="false">
      <c r="A955" s="0" t="n">
        <v>2024</v>
      </c>
      <c r="B955" s="0" t="s">
        <v>304</v>
      </c>
      <c r="C955" s="0" t="s">
        <v>305</v>
      </c>
      <c r="D955" s="0" t="s">
        <v>72</v>
      </c>
      <c r="E955" s="0" t="n">
        <v>417611</v>
      </c>
      <c r="F955" s="0" t="n">
        <v>26129</v>
      </c>
      <c r="G955" s="0" t="n">
        <v>25018</v>
      </c>
      <c r="H955" s="0" t="n">
        <v>22517</v>
      </c>
    </row>
    <row r="956" customFormat="false" ht="15" hidden="false" customHeight="false" outlineLevel="0" collapsed="false">
      <c r="A956" s="0" t="n">
        <v>2024</v>
      </c>
      <c r="B956" s="0" t="s">
        <v>306</v>
      </c>
      <c r="C956" s="0" t="s">
        <v>307</v>
      </c>
      <c r="D956" s="0" t="s">
        <v>72</v>
      </c>
      <c r="E956" s="0" t="n">
        <v>648909</v>
      </c>
      <c r="F956" s="0" t="n">
        <v>27357</v>
      </c>
      <c r="G956" s="0" t="n">
        <v>27347</v>
      </c>
      <c r="H956" s="0" t="n">
        <v>23476</v>
      </c>
    </row>
    <row r="957" customFormat="false" ht="15" hidden="false" customHeight="false" outlineLevel="0" collapsed="false">
      <c r="A957" s="0" t="n">
        <v>2024</v>
      </c>
      <c r="B957" s="0" t="s">
        <v>310</v>
      </c>
      <c r="C957" s="0" t="s">
        <v>311</v>
      </c>
      <c r="D957" s="0" t="s">
        <v>72</v>
      </c>
      <c r="E957" s="0" t="n">
        <v>117127</v>
      </c>
      <c r="F957" s="0" t="n">
        <v>23041</v>
      </c>
      <c r="G957" s="0" t="n">
        <v>23057</v>
      </c>
      <c r="H957" s="0" t="n">
        <v>20748</v>
      </c>
    </row>
    <row r="958" customFormat="false" ht="15" hidden="false" customHeight="false" outlineLevel="0" collapsed="false">
      <c r="A958" s="0" t="n">
        <v>2024</v>
      </c>
      <c r="B958" s="0" t="s">
        <v>312</v>
      </c>
      <c r="C958" s="0" t="s">
        <v>313</v>
      </c>
      <c r="D958" s="0" t="s">
        <v>72</v>
      </c>
      <c r="E958" s="0" t="n">
        <v>128842</v>
      </c>
      <c r="F958" s="0" t="n">
        <v>25132</v>
      </c>
      <c r="G958" s="0" t="n">
        <v>24550</v>
      </c>
      <c r="H958" s="0" t="n">
        <v>22668</v>
      </c>
    </row>
    <row r="959" customFormat="false" ht="15" hidden="false" customHeight="false" outlineLevel="0" collapsed="false">
      <c r="A959" s="0" t="n">
        <v>2024</v>
      </c>
      <c r="B959" s="0" t="s">
        <v>308</v>
      </c>
      <c r="C959" s="0" t="s">
        <v>309</v>
      </c>
      <c r="D959" s="0" t="s">
        <v>72</v>
      </c>
      <c r="E959" s="0" t="n">
        <v>658196</v>
      </c>
      <c r="F959" s="0" t="n">
        <v>26242</v>
      </c>
      <c r="G959" s="0" t="n">
        <v>24389</v>
      </c>
      <c r="H959" s="0" t="n">
        <v>22644</v>
      </c>
    </row>
    <row r="960" customFormat="false" ht="15" hidden="false" customHeight="false" outlineLevel="0" collapsed="false">
      <c r="A960" s="0" t="n">
        <v>2024</v>
      </c>
      <c r="B960" s="0" t="s">
        <v>318</v>
      </c>
      <c r="C960" s="0" t="s">
        <v>319</v>
      </c>
      <c r="D960" s="0" t="s">
        <v>72</v>
      </c>
      <c r="E960" s="0" t="n">
        <v>664145</v>
      </c>
      <c r="F960" s="0" t="n">
        <v>26578</v>
      </c>
      <c r="G960" s="0" t="n">
        <v>26050</v>
      </c>
      <c r="H960" s="0" t="n">
        <v>21981</v>
      </c>
    </row>
    <row r="961" customFormat="false" ht="15" hidden="false" customHeight="false" outlineLevel="0" collapsed="false">
      <c r="A961" s="0" t="n">
        <v>2024</v>
      </c>
      <c r="B961" s="0" t="s">
        <v>314</v>
      </c>
      <c r="C961" s="0" t="s">
        <v>315</v>
      </c>
      <c r="D961" s="0" t="s">
        <v>72</v>
      </c>
      <c r="E961" s="0" t="n">
        <v>731692</v>
      </c>
      <c r="F961" s="0" t="n">
        <v>26202</v>
      </c>
      <c r="G961" s="0" t="n">
        <v>24522</v>
      </c>
      <c r="H961" s="0" t="n">
        <v>22261</v>
      </c>
    </row>
    <row r="962" customFormat="false" ht="15" hidden="false" customHeight="false" outlineLevel="0" collapsed="false">
      <c r="A962" s="0" t="n">
        <v>2024</v>
      </c>
      <c r="B962" s="0" t="s">
        <v>320</v>
      </c>
      <c r="C962" s="0" t="s">
        <v>321</v>
      </c>
      <c r="D962" s="0" t="s">
        <v>73</v>
      </c>
      <c r="E962" s="0" t="n">
        <v>223376</v>
      </c>
      <c r="F962" s="0" t="n">
        <v>22107</v>
      </c>
      <c r="G962" s="0" t="n">
        <v>21202</v>
      </c>
      <c r="H962" s="0" t="n">
        <v>21830</v>
      </c>
    </row>
    <row r="963" customFormat="false" ht="15" hidden="false" customHeight="false" outlineLevel="0" collapsed="false">
      <c r="A963" s="0" t="n">
        <v>2024</v>
      </c>
      <c r="B963" s="0" t="s">
        <v>316</v>
      </c>
      <c r="C963" s="0" t="s">
        <v>317</v>
      </c>
      <c r="D963" s="0" t="s">
        <v>74</v>
      </c>
      <c r="E963" s="0" t="n">
        <v>99473</v>
      </c>
      <c r="F963" s="0" t="n">
        <v>17913</v>
      </c>
      <c r="G963" s="0" t="n">
        <v>16880</v>
      </c>
      <c r="H963" s="0" t="n">
        <v>17488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5" min="5" style="0" width="12"/>
  </cols>
  <sheetData>
    <row r="1" customFormat="false" ht="26.85" hidden="false" customHeight="false" outlineLevel="0" collapsed="false">
      <c r="A1" s="5" t="s">
        <v>341</v>
      </c>
      <c r="B1" s="5" t="s">
        <v>342</v>
      </c>
      <c r="C1" s="5" t="s">
        <v>343</v>
      </c>
      <c r="D1" s="5" t="s">
        <v>344</v>
      </c>
      <c r="E1" s="5" t="s">
        <v>349</v>
      </c>
    </row>
    <row r="2" customFormat="false" ht="15" hidden="false" customHeight="false" outlineLevel="0" collapsed="false">
      <c r="A2" s="0" t="n">
        <v>2016</v>
      </c>
      <c r="B2" s="0" t="s">
        <v>90</v>
      </c>
      <c r="C2" s="0" t="s">
        <v>91</v>
      </c>
      <c r="D2" s="0" t="s">
        <v>75</v>
      </c>
      <c r="E2" s="0" t="n">
        <v>662</v>
      </c>
    </row>
    <row r="3" customFormat="false" ht="15" hidden="false" customHeight="false" outlineLevel="0" collapsed="false">
      <c r="A3" s="0" t="n">
        <v>2017</v>
      </c>
      <c r="B3" s="0" t="s">
        <v>90</v>
      </c>
      <c r="C3" s="0" t="s">
        <v>91</v>
      </c>
      <c r="D3" s="0" t="s">
        <v>75</v>
      </c>
      <c r="E3" s="0" t="n">
        <v>641</v>
      </c>
    </row>
    <row r="4" customFormat="false" ht="15" hidden="false" customHeight="false" outlineLevel="0" collapsed="false">
      <c r="A4" s="0" t="n">
        <v>2018</v>
      </c>
      <c r="B4" s="0" t="s">
        <v>90</v>
      </c>
      <c r="C4" s="0" t="s">
        <v>91</v>
      </c>
      <c r="D4" s="0" t="s">
        <v>75</v>
      </c>
      <c r="E4" s="0" t="n">
        <v>639</v>
      </c>
    </row>
    <row r="5" customFormat="false" ht="15" hidden="false" customHeight="false" outlineLevel="0" collapsed="false">
      <c r="A5" s="0" t="n">
        <v>2019</v>
      </c>
      <c r="B5" s="0" t="s">
        <v>90</v>
      </c>
      <c r="C5" s="0" t="s">
        <v>91</v>
      </c>
      <c r="D5" s="0" t="s">
        <v>75</v>
      </c>
      <c r="E5" s="0" t="n">
        <v>631</v>
      </c>
    </row>
    <row r="6" customFormat="false" ht="15" hidden="false" customHeight="false" outlineLevel="0" collapsed="false">
      <c r="A6" s="0" t="n">
        <v>2020</v>
      </c>
      <c r="B6" s="0" t="s">
        <v>90</v>
      </c>
      <c r="C6" s="0" t="s">
        <v>91</v>
      </c>
      <c r="D6" s="0" t="s">
        <v>75</v>
      </c>
      <c r="E6" s="0" t="n">
        <v>617</v>
      </c>
    </row>
    <row r="7" customFormat="false" ht="15" hidden="false" customHeight="false" outlineLevel="0" collapsed="false">
      <c r="A7" s="0" t="n">
        <v>2021</v>
      </c>
      <c r="B7" s="0" t="s">
        <v>90</v>
      </c>
      <c r="C7" s="0" t="s">
        <v>91</v>
      </c>
      <c r="D7" s="0" t="s">
        <v>75</v>
      </c>
      <c r="E7" s="0" t="n">
        <v>594</v>
      </c>
    </row>
    <row r="8" customFormat="false" ht="15" hidden="false" customHeight="false" outlineLevel="0" collapsed="false">
      <c r="A8" s="0" t="n">
        <v>2022</v>
      </c>
      <c r="B8" s="0" t="s">
        <v>90</v>
      </c>
      <c r="C8" s="0" t="s">
        <v>91</v>
      </c>
      <c r="D8" s="0" t="s">
        <v>75</v>
      </c>
      <c r="E8" s="0" t="n">
        <v>583</v>
      </c>
    </row>
    <row r="9" customFormat="false" ht="15" hidden="false" customHeight="false" outlineLevel="0" collapsed="false">
      <c r="A9" s="0" t="n">
        <v>2023</v>
      </c>
      <c r="B9" s="0" t="s">
        <v>90</v>
      </c>
      <c r="C9" s="0" t="s">
        <v>91</v>
      </c>
      <c r="D9" s="0" t="s">
        <v>75</v>
      </c>
      <c r="E9" s="0" t="n">
        <v>582</v>
      </c>
    </row>
    <row r="10" customFormat="false" ht="15" hidden="false" customHeight="false" outlineLevel="0" collapsed="false">
      <c r="A10" s="0" t="n">
        <v>2024</v>
      </c>
      <c r="B10" s="0" t="s">
        <v>90</v>
      </c>
      <c r="C10" s="0" t="s">
        <v>91</v>
      </c>
      <c r="D10" s="0" t="s">
        <v>75</v>
      </c>
      <c r="E10" s="0" t="n">
        <v>576</v>
      </c>
    </row>
    <row r="11" customFormat="false" ht="15" hidden="false" customHeight="false" outlineLevel="0" collapsed="false">
      <c r="A11" s="0" t="n">
        <v>2025</v>
      </c>
      <c r="B11" s="0" t="s">
        <v>90</v>
      </c>
      <c r="C11" s="0" t="s">
        <v>91</v>
      </c>
      <c r="D11" s="0" t="s">
        <v>75</v>
      </c>
      <c r="E11" s="0" t="n">
        <v>581</v>
      </c>
    </row>
    <row r="12" customFormat="false" ht="15" hidden="false" customHeight="false" outlineLevel="0" collapsed="false">
      <c r="A12" s="0" t="n">
        <v>2016</v>
      </c>
      <c r="B12" s="0" t="s">
        <v>93</v>
      </c>
      <c r="C12" s="0" t="s">
        <v>94</v>
      </c>
      <c r="D12" s="0" t="s">
        <v>72</v>
      </c>
      <c r="E12" s="0" t="n">
        <v>894</v>
      </c>
    </row>
    <row r="13" customFormat="false" ht="15" hidden="false" customHeight="false" outlineLevel="0" collapsed="false">
      <c r="A13" s="0" t="n">
        <v>2017</v>
      </c>
      <c r="B13" s="0" t="s">
        <v>93</v>
      </c>
      <c r="C13" s="0" t="s">
        <v>94</v>
      </c>
      <c r="D13" s="0" t="s">
        <v>72</v>
      </c>
      <c r="E13" s="0" t="n">
        <v>890</v>
      </c>
    </row>
    <row r="14" customFormat="false" ht="15" hidden="false" customHeight="false" outlineLevel="0" collapsed="false">
      <c r="A14" s="0" t="n">
        <v>2018</v>
      </c>
      <c r="B14" s="0" t="s">
        <v>93</v>
      </c>
      <c r="C14" s="0" t="s">
        <v>94</v>
      </c>
      <c r="D14" s="0" t="s">
        <v>72</v>
      </c>
      <c r="E14" s="0" t="n">
        <v>873</v>
      </c>
    </row>
    <row r="15" customFormat="false" ht="15" hidden="false" customHeight="false" outlineLevel="0" collapsed="false">
      <c r="A15" s="0" t="n">
        <v>2019</v>
      </c>
      <c r="B15" s="0" t="s">
        <v>93</v>
      </c>
      <c r="C15" s="0" t="s">
        <v>94</v>
      </c>
      <c r="D15" s="0" t="s">
        <v>72</v>
      </c>
      <c r="E15" s="0" t="n">
        <v>827</v>
      </c>
    </row>
    <row r="16" customFormat="false" ht="15" hidden="false" customHeight="false" outlineLevel="0" collapsed="false">
      <c r="A16" s="0" t="n">
        <v>2020</v>
      </c>
      <c r="B16" s="0" t="s">
        <v>93</v>
      </c>
      <c r="C16" s="0" t="s">
        <v>94</v>
      </c>
      <c r="D16" s="0" t="s">
        <v>72</v>
      </c>
      <c r="E16" s="0" t="n">
        <v>820</v>
      </c>
    </row>
    <row r="17" customFormat="false" ht="15" hidden="false" customHeight="false" outlineLevel="0" collapsed="false">
      <c r="A17" s="0" t="n">
        <v>2021</v>
      </c>
      <c r="B17" s="0" t="s">
        <v>93</v>
      </c>
      <c r="C17" s="0" t="s">
        <v>94</v>
      </c>
      <c r="D17" s="0" t="s">
        <v>72</v>
      </c>
      <c r="E17" s="0" t="n">
        <v>809</v>
      </c>
    </row>
    <row r="18" customFormat="false" ht="15" hidden="false" customHeight="false" outlineLevel="0" collapsed="false">
      <c r="A18" s="0" t="n">
        <v>2022</v>
      </c>
      <c r="B18" s="0" t="s">
        <v>93</v>
      </c>
      <c r="C18" s="0" t="s">
        <v>94</v>
      </c>
      <c r="D18" s="0" t="s">
        <v>72</v>
      </c>
      <c r="E18" s="0" t="n">
        <v>786</v>
      </c>
    </row>
    <row r="19" customFormat="false" ht="15" hidden="false" customHeight="false" outlineLevel="0" collapsed="false">
      <c r="A19" s="0" t="n">
        <v>2023</v>
      </c>
      <c r="B19" s="0" t="s">
        <v>93</v>
      </c>
      <c r="C19" s="0" t="s">
        <v>94</v>
      </c>
      <c r="D19" s="0" t="s">
        <v>72</v>
      </c>
      <c r="E19" s="0" t="n">
        <v>777</v>
      </c>
    </row>
    <row r="20" customFormat="false" ht="15" hidden="false" customHeight="false" outlineLevel="0" collapsed="false">
      <c r="A20" s="0" t="n">
        <v>2024</v>
      </c>
      <c r="B20" s="0" t="s">
        <v>93</v>
      </c>
      <c r="C20" s="0" t="s">
        <v>94</v>
      </c>
      <c r="D20" s="0" t="s">
        <v>72</v>
      </c>
      <c r="E20" s="0" t="n">
        <v>772</v>
      </c>
    </row>
    <row r="21" customFormat="false" ht="15" hidden="false" customHeight="false" outlineLevel="0" collapsed="false">
      <c r="A21" s="0" t="n">
        <v>2025</v>
      </c>
      <c r="B21" s="0" t="s">
        <v>93</v>
      </c>
      <c r="C21" s="0" t="s">
        <v>94</v>
      </c>
      <c r="D21" s="0" t="s">
        <v>72</v>
      </c>
      <c r="E21" s="0" t="n">
        <v>756</v>
      </c>
    </row>
    <row r="22" customFormat="false" ht="15" hidden="false" customHeight="false" outlineLevel="0" collapsed="false">
      <c r="A22" s="0" t="n">
        <v>2016</v>
      </c>
      <c r="B22" s="0" t="s">
        <v>96</v>
      </c>
      <c r="C22" s="0" t="s">
        <v>97</v>
      </c>
      <c r="D22" s="0" t="s">
        <v>73</v>
      </c>
      <c r="E22" s="0" t="n">
        <v>1245</v>
      </c>
    </row>
    <row r="23" customFormat="false" ht="15" hidden="false" customHeight="false" outlineLevel="0" collapsed="false">
      <c r="A23" s="0" t="n">
        <v>2017</v>
      </c>
      <c r="B23" s="0" t="s">
        <v>96</v>
      </c>
      <c r="C23" s="0" t="s">
        <v>97</v>
      </c>
      <c r="D23" s="0" t="s">
        <v>73</v>
      </c>
      <c r="E23" s="0" t="n">
        <v>1167</v>
      </c>
    </row>
    <row r="24" customFormat="false" ht="15" hidden="false" customHeight="false" outlineLevel="0" collapsed="false">
      <c r="A24" s="0" t="n">
        <v>2018</v>
      </c>
      <c r="B24" s="0" t="s">
        <v>96</v>
      </c>
      <c r="C24" s="0" t="s">
        <v>97</v>
      </c>
      <c r="D24" s="0" t="s">
        <v>73</v>
      </c>
      <c r="E24" s="0" t="n">
        <v>1144</v>
      </c>
    </row>
    <row r="25" customFormat="false" ht="15" hidden="false" customHeight="false" outlineLevel="0" collapsed="false">
      <c r="A25" s="0" t="n">
        <v>2019</v>
      </c>
      <c r="B25" s="0" t="s">
        <v>96</v>
      </c>
      <c r="C25" s="0" t="s">
        <v>97</v>
      </c>
      <c r="D25" s="0" t="s">
        <v>73</v>
      </c>
      <c r="E25" s="0" t="n">
        <v>1126</v>
      </c>
    </row>
    <row r="26" customFormat="false" ht="15" hidden="false" customHeight="false" outlineLevel="0" collapsed="false">
      <c r="A26" s="0" t="n">
        <v>2020</v>
      </c>
      <c r="B26" s="0" t="s">
        <v>96</v>
      </c>
      <c r="C26" s="0" t="s">
        <v>97</v>
      </c>
      <c r="D26" s="0" t="s">
        <v>73</v>
      </c>
      <c r="E26" s="0" t="n">
        <v>1111</v>
      </c>
    </row>
    <row r="27" customFormat="false" ht="15" hidden="false" customHeight="false" outlineLevel="0" collapsed="false">
      <c r="A27" s="0" t="n">
        <v>2021</v>
      </c>
      <c r="B27" s="0" t="s">
        <v>96</v>
      </c>
      <c r="C27" s="0" t="s">
        <v>97</v>
      </c>
      <c r="D27" s="0" t="s">
        <v>73</v>
      </c>
      <c r="E27" s="0" t="n">
        <v>1095</v>
      </c>
    </row>
    <row r="28" customFormat="false" ht="15" hidden="false" customHeight="false" outlineLevel="0" collapsed="false">
      <c r="A28" s="0" t="n">
        <v>2022</v>
      </c>
      <c r="B28" s="0" t="s">
        <v>96</v>
      </c>
      <c r="C28" s="0" t="s">
        <v>97</v>
      </c>
      <c r="D28" s="0" t="s">
        <v>73</v>
      </c>
      <c r="E28" s="0" t="n">
        <v>1104</v>
      </c>
    </row>
    <row r="29" customFormat="false" ht="15" hidden="false" customHeight="false" outlineLevel="0" collapsed="false">
      <c r="A29" s="0" t="n">
        <v>2023</v>
      </c>
      <c r="B29" s="0" t="s">
        <v>96</v>
      </c>
      <c r="C29" s="0" t="s">
        <v>97</v>
      </c>
      <c r="D29" s="0" t="s">
        <v>73</v>
      </c>
      <c r="E29" s="0" t="n">
        <v>1109</v>
      </c>
    </row>
    <row r="30" customFormat="false" ht="15" hidden="false" customHeight="false" outlineLevel="0" collapsed="false">
      <c r="A30" s="0" t="n">
        <v>2024</v>
      </c>
      <c r="B30" s="0" t="s">
        <v>96</v>
      </c>
      <c r="C30" s="0" t="s">
        <v>97</v>
      </c>
      <c r="D30" s="0" t="s">
        <v>73</v>
      </c>
      <c r="E30" s="0" t="n">
        <v>1115</v>
      </c>
    </row>
    <row r="31" customFormat="false" ht="15" hidden="false" customHeight="false" outlineLevel="0" collapsed="false">
      <c r="A31" s="0" t="n">
        <v>2025</v>
      </c>
      <c r="B31" s="0" t="s">
        <v>96</v>
      </c>
      <c r="C31" s="0" t="s">
        <v>97</v>
      </c>
      <c r="D31" s="0" t="s">
        <v>73</v>
      </c>
      <c r="E31" s="0" t="n">
        <v>1123</v>
      </c>
    </row>
    <row r="32" customFormat="false" ht="15" hidden="false" customHeight="false" outlineLevel="0" collapsed="false">
      <c r="A32" s="0" t="n">
        <v>2016</v>
      </c>
      <c r="B32" s="0" t="s">
        <v>99</v>
      </c>
      <c r="C32" s="0" t="s">
        <v>100</v>
      </c>
      <c r="D32" s="0" t="s">
        <v>72</v>
      </c>
      <c r="E32" s="0" t="n">
        <v>1852</v>
      </c>
    </row>
    <row r="33" customFormat="false" ht="15" hidden="false" customHeight="false" outlineLevel="0" collapsed="false">
      <c r="A33" s="0" t="n">
        <v>2017</v>
      </c>
      <c r="B33" s="0" t="s">
        <v>99</v>
      </c>
      <c r="C33" s="0" t="s">
        <v>100</v>
      </c>
      <c r="D33" s="0" t="s">
        <v>72</v>
      </c>
      <c r="E33" s="0" t="n">
        <v>1844</v>
      </c>
    </row>
    <row r="34" customFormat="false" ht="15" hidden="false" customHeight="false" outlineLevel="0" collapsed="false">
      <c r="A34" s="0" t="n">
        <v>2018</v>
      </c>
      <c r="B34" s="0" t="s">
        <v>99</v>
      </c>
      <c r="C34" s="0" t="s">
        <v>100</v>
      </c>
      <c r="D34" s="0" t="s">
        <v>72</v>
      </c>
      <c r="E34" s="0" t="n">
        <v>1851</v>
      </c>
    </row>
    <row r="35" customFormat="false" ht="15" hidden="false" customHeight="false" outlineLevel="0" collapsed="false">
      <c r="A35" s="0" t="n">
        <v>2019</v>
      </c>
      <c r="B35" s="0" t="s">
        <v>99</v>
      </c>
      <c r="C35" s="0" t="s">
        <v>100</v>
      </c>
      <c r="D35" s="0" t="s">
        <v>72</v>
      </c>
      <c r="E35" s="0" t="n">
        <v>1859</v>
      </c>
    </row>
    <row r="36" customFormat="false" ht="15" hidden="false" customHeight="false" outlineLevel="0" collapsed="false">
      <c r="A36" s="0" t="n">
        <v>2020</v>
      </c>
      <c r="B36" s="0" t="s">
        <v>99</v>
      </c>
      <c r="C36" s="0" t="s">
        <v>100</v>
      </c>
      <c r="D36" s="0" t="s">
        <v>72</v>
      </c>
      <c r="E36" s="0" t="n">
        <v>1866</v>
      </c>
    </row>
    <row r="37" customFormat="false" ht="15" hidden="false" customHeight="false" outlineLevel="0" collapsed="false">
      <c r="A37" s="0" t="n">
        <v>2021</v>
      </c>
      <c r="B37" s="0" t="s">
        <v>99</v>
      </c>
      <c r="C37" s="0" t="s">
        <v>100</v>
      </c>
      <c r="D37" s="0" t="s">
        <v>72</v>
      </c>
      <c r="E37" s="0" t="n">
        <v>1874</v>
      </c>
    </row>
    <row r="38" customFormat="false" ht="15" hidden="false" customHeight="false" outlineLevel="0" collapsed="false">
      <c r="A38" s="0" t="n">
        <v>2022</v>
      </c>
      <c r="B38" s="0" t="s">
        <v>99</v>
      </c>
      <c r="C38" s="0" t="s">
        <v>100</v>
      </c>
      <c r="D38" s="0" t="s">
        <v>72</v>
      </c>
      <c r="E38" s="0" t="n">
        <v>1881</v>
      </c>
    </row>
    <row r="39" customFormat="false" ht="15" hidden="false" customHeight="false" outlineLevel="0" collapsed="false">
      <c r="A39" s="0" t="n">
        <v>2023</v>
      </c>
      <c r="B39" s="0" t="s">
        <v>99</v>
      </c>
      <c r="C39" s="0" t="s">
        <v>100</v>
      </c>
      <c r="D39" s="0" t="s">
        <v>72</v>
      </c>
      <c r="E39" s="0" t="n">
        <v>1888</v>
      </c>
    </row>
    <row r="40" customFormat="false" ht="15" hidden="false" customHeight="false" outlineLevel="0" collapsed="false">
      <c r="A40" s="0" t="n">
        <v>2024</v>
      </c>
      <c r="B40" s="0" t="s">
        <v>99</v>
      </c>
      <c r="C40" s="0" t="s">
        <v>100</v>
      </c>
      <c r="D40" s="0" t="s">
        <v>72</v>
      </c>
      <c r="E40" s="0" t="n">
        <v>1896</v>
      </c>
    </row>
    <row r="41" customFormat="false" ht="15" hidden="false" customHeight="false" outlineLevel="0" collapsed="false">
      <c r="A41" s="0" t="n">
        <v>2025</v>
      </c>
      <c r="B41" s="0" t="s">
        <v>99</v>
      </c>
      <c r="C41" s="0" t="s">
        <v>100</v>
      </c>
      <c r="D41" s="0" t="s">
        <v>72</v>
      </c>
      <c r="E41" s="0" t="n">
        <v>1903</v>
      </c>
    </row>
    <row r="42" customFormat="false" ht="15" hidden="false" customHeight="false" outlineLevel="0" collapsed="false">
      <c r="A42" s="0" t="n">
        <v>2016</v>
      </c>
      <c r="B42" s="0" t="s">
        <v>105</v>
      </c>
      <c r="C42" s="0" t="s">
        <v>106</v>
      </c>
      <c r="D42" s="0" t="s">
        <v>73</v>
      </c>
      <c r="E42" s="0" t="n">
        <v>1376</v>
      </c>
    </row>
    <row r="43" customFormat="false" ht="15" hidden="false" customHeight="false" outlineLevel="0" collapsed="false">
      <c r="A43" s="0" t="n">
        <v>2017</v>
      </c>
      <c r="B43" s="0" t="s">
        <v>105</v>
      </c>
      <c r="C43" s="0" t="s">
        <v>106</v>
      </c>
      <c r="D43" s="0" t="s">
        <v>73</v>
      </c>
      <c r="E43" s="0" t="n">
        <v>1403</v>
      </c>
    </row>
    <row r="44" customFormat="false" ht="15" hidden="false" customHeight="false" outlineLevel="0" collapsed="false">
      <c r="A44" s="0" t="n">
        <v>2018</v>
      </c>
      <c r="B44" s="0" t="s">
        <v>105</v>
      </c>
      <c r="C44" s="0" t="s">
        <v>106</v>
      </c>
      <c r="D44" s="0" t="s">
        <v>73</v>
      </c>
      <c r="E44" s="0" t="n">
        <v>1396</v>
      </c>
    </row>
    <row r="45" customFormat="false" ht="15" hidden="false" customHeight="false" outlineLevel="0" collapsed="false">
      <c r="A45" s="0" t="n">
        <v>2019</v>
      </c>
      <c r="B45" s="0" t="s">
        <v>105</v>
      </c>
      <c r="C45" s="0" t="s">
        <v>106</v>
      </c>
      <c r="D45" s="0" t="s">
        <v>73</v>
      </c>
      <c r="E45" s="0" t="n">
        <v>1384</v>
      </c>
    </row>
    <row r="46" customFormat="false" ht="15" hidden="false" customHeight="false" outlineLevel="0" collapsed="false">
      <c r="A46" s="0" t="n">
        <v>2020</v>
      </c>
      <c r="B46" s="0" t="s">
        <v>105</v>
      </c>
      <c r="C46" s="0" t="s">
        <v>106</v>
      </c>
      <c r="D46" s="0" t="s">
        <v>73</v>
      </c>
      <c r="E46" s="0" t="n">
        <v>1380</v>
      </c>
    </row>
    <row r="47" customFormat="false" ht="15" hidden="false" customHeight="false" outlineLevel="0" collapsed="false">
      <c r="A47" s="0" t="n">
        <v>2021</v>
      </c>
      <c r="B47" s="0" t="s">
        <v>105</v>
      </c>
      <c r="C47" s="0" t="s">
        <v>106</v>
      </c>
      <c r="D47" s="0" t="s">
        <v>73</v>
      </c>
      <c r="E47" s="0" t="n">
        <v>1383</v>
      </c>
    </row>
    <row r="48" customFormat="false" ht="15" hidden="false" customHeight="false" outlineLevel="0" collapsed="false">
      <c r="A48" s="0" t="n">
        <v>2022</v>
      </c>
      <c r="B48" s="0" t="s">
        <v>105</v>
      </c>
      <c r="C48" s="0" t="s">
        <v>106</v>
      </c>
      <c r="D48" s="0" t="s">
        <v>73</v>
      </c>
      <c r="E48" s="0" t="n">
        <v>1413</v>
      </c>
    </row>
    <row r="49" customFormat="false" ht="15" hidden="false" customHeight="false" outlineLevel="0" collapsed="false">
      <c r="A49" s="0" t="n">
        <v>2023</v>
      </c>
      <c r="B49" s="0" t="s">
        <v>105</v>
      </c>
      <c r="C49" s="0" t="s">
        <v>106</v>
      </c>
      <c r="D49" s="0" t="s">
        <v>73</v>
      </c>
      <c r="E49" s="0" t="n">
        <v>1458</v>
      </c>
    </row>
    <row r="50" customFormat="false" ht="15" hidden="false" customHeight="false" outlineLevel="0" collapsed="false">
      <c r="A50" s="0" t="n">
        <v>2024</v>
      </c>
      <c r="B50" s="0" t="s">
        <v>105</v>
      </c>
      <c r="C50" s="0" t="s">
        <v>106</v>
      </c>
      <c r="D50" s="0" t="s">
        <v>73</v>
      </c>
      <c r="E50" s="0" t="n">
        <v>1478</v>
      </c>
    </row>
    <row r="51" customFormat="false" ht="15" hidden="false" customHeight="false" outlineLevel="0" collapsed="false">
      <c r="A51" s="0" t="n">
        <v>2025</v>
      </c>
      <c r="B51" s="0" t="s">
        <v>105</v>
      </c>
      <c r="C51" s="0" t="s">
        <v>106</v>
      </c>
      <c r="D51" s="0" t="s">
        <v>73</v>
      </c>
      <c r="E51" s="0" t="n">
        <v>1499</v>
      </c>
    </row>
    <row r="52" customFormat="false" ht="15" hidden="false" customHeight="false" outlineLevel="0" collapsed="false">
      <c r="A52" s="0" t="n">
        <v>2016</v>
      </c>
      <c r="B52" s="0" t="s">
        <v>192</v>
      </c>
      <c r="C52" s="0" t="s">
        <v>193</v>
      </c>
      <c r="D52" s="0" t="s">
        <v>74</v>
      </c>
      <c r="E52" s="0" t="n">
        <v>831</v>
      </c>
    </row>
    <row r="53" customFormat="false" ht="15" hidden="false" customHeight="false" outlineLevel="0" collapsed="false">
      <c r="A53" s="0" t="n">
        <v>2017</v>
      </c>
      <c r="B53" s="0" t="s">
        <v>192</v>
      </c>
      <c r="C53" s="0" t="s">
        <v>193</v>
      </c>
      <c r="D53" s="0" t="s">
        <v>74</v>
      </c>
      <c r="E53" s="0" t="n">
        <v>824</v>
      </c>
    </row>
    <row r="54" customFormat="false" ht="15" hidden="false" customHeight="false" outlineLevel="0" collapsed="false">
      <c r="A54" s="0" t="n">
        <v>2018</v>
      </c>
      <c r="B54" s="0" t="s">
        <v>192</v>
      </c>
      <c r="C54" s="0" t="s">
        <v>193</v>
      </c>
      <c r="D54" s="0" t="s">
        <v>74</v>
      </c>
      <c r="E54" s="0" t="n">
        <v>846</v>
      </c>
    </row>
    <row r="55" customFormat="false" ht="15" hidden="false" customHeight="false" outlineLevel="0" collapsed="false">
      <c r="A55" s="0" t="n">
        <v>2019</v>
      </c>
      <c r="B55" s="0" t="s">
        <v>192</v>
      </c>
      <c r="C55" s="0" t="s">
        <v>193</v>
      </c>
      <c r="D55" s="0" t="s">
        <v>74</v>
      </c>
      <c r="E55" s="0" t="n">
        <v>818</v>
      </c>
    </row>
    <row r="56" customFormat="false" ht="15" hidden="false" customHeight="false" outlineLevel="0" collapsed="false">
      <c r="A56" s="0" t="n">
        <v>2020</v>
      </c>
      <c r="B56" s="0" t="s">
        <v>192</v>
      </c>
      <c r="C56" s="0" t="s">
        <v>193</v>
      </c>
      <c r="D56" s="0" t="s">
        <v>74</v>
      </c>
      <c r="E56" s="0" t="n">
        <v>803</v>
      </c>
    </row>
    <row r="57" customFormat="false" ht="15" hidden="false" customHeight="false" outlineLevel="0" collapsed="false">
      <c r="A57" s="0" t="n">
        <v>2021</v>
      </c>
      <c r="B57" s="0" t="s">
        <v>192</v>
      </c>
      <c r="C57" s="0" t="s">
        <v>193</v>
      </c>
      <c r="D57" s="0" t="s">
        <v>74</v>
      </c>
      <c r="E57" s="0" t="n">
        <v>793</v>
      </c>
    </row>
    <row r="58" customFormat="false" ht="15" hidden="false" customHeight="false" outlineLevel="0" collapsed="false">
      <c r="A58" s="0" t="n">
        <v>2022</v>
      </c>
      <c r="B58" s="0" t="s">
        <v>192</v>
      </c>
      <c r="C58" s="0" t="s">
        <v>193</v>
      </c>
      <c r="D58" s="0" t="s">
        <v>74</v>
      </c>
      <c r="E58" s="0" t="n">
        <v>789</v>
      </c>
    </row>
    <row r="59" customFormat="false" ht="15" hidden="false" customHeight="false" outlineLevel="0" collapsed="false">
      <c r="A59" s="0" t="n">
        <v>2023</v>
      </c>
      <c r="B59" s="0" t="s">
        <v>192</v>
      </c>
      <c r="C59" s="0" t="s">
        <v>193</v>
      </c>
      <c r="D59" s="0" t="s">
        <v>74</v>
      </c>
      <c r="E59" s="0" t="n">
        <v>791</v>
      </c>
    </row>
    <row r="60" customFormat="false" ht="15" hidden="false" customHeight="false" outlineLevel="0" collapsed="false">
      <c r="A60" s="0" t="n">
        <v>2024</v>
      </c>
      <c r="B60" s="0" t="s">
        <v>192</v>
      </c>
      <c r="C60" s="0" t="s">
        <v>193</v>
      </c>
      <c r="D60" s="0" t="s">
        <v>74</v>
      </c>
      <c r="E60" s="0" t="n">
        <v>782</v>
      </c>
    </row>
    <row r="61" customFormat="false" ht="15" hidden="false" customHeight="false" outlineLevel="0" collapsed="false">
      <c r="A61" s="0" t="n">
        <v>2025</v>
      </c>
      <c r="B61" s="0" t="s">
        <v>192</v>
      </c>
      <c r="C61" s="0" t="s">
        <v>193</v>
      </c>
      <c r="D61" s="0" t="s">
        <v>74</v>
      </c>
      <c r="E61" s="0" t="n">
        <v>777</v>
      </c>
    </row>
    <row r="62" customFormat="false" ht="15" hidden="false" customHeight="false" outlineLevel="0" collapsed="false">
      <c r="A62" s="0" t="n">
        <v>2016</v>
      </c>
      <c r="B62" s="0" t="s">
        <v>102</v>
      </c>
      <c r="C62" s="0" t="s">
        <v>103</v>
      </c>
      <c r="D62" s="0" t="s">
        <v>73</v>
      </c>
      <c r="E62" s="0" t="n">
        <v>1322</v>
      </c>
    </row>
    <row r="63" customFormat="false" ht="15" hidden="false" customHeight="false" outlineLevel="0" collapsed="false">
      <c r="A63" s="0" t="n">
        <v>2017</v>
      </c>
      <c r="B63" s="0" t="s">
        <v>102</v>
      </c>
      <c r="C63" s="0" t="s">
        <v>103</v>
      </c>
      <c r="D63" s="0" t="s">
        <v>73</v>
      </c>
      <c r="E63" s="0" t="n">
        <v>1302</v>
      </c>
    </row>
    <row r="64" customFormat="false" ht="15" hidden="false" customHeight="false" outlineLevel="0" collapsed="false">
      <c r="A64" s="0" t="n">
        <v>2018</v>
      </c>
      <c r="B64" s="0" t="s">
        <v>102</v>
      </c>
      <c r="C64" s="0" t="s">
        <v>103</v>
      </c>
      <c r="D64" s="0" t="s">
        <v>73</v>
      </c>
      <c r="E64" s="0" t="n">
        <v>1287</v>
      </c>
    </row>
    <row r="65" customFormat="false" ht="15" hidden="false" customHeight="false" outlineLevel="0" collapsed="false">
      <c r="A65" s="0" t="n">
        <v>2019</v>
      </c>
      <c r="B65" s="0" t="s">
        <v>102</v>
      </c>
      <c r="C65" s="0" t="s">
        <v>103</v>
      </c>
      <c r="D65" s="0" t="s">
        <v>73</v>
      </c>
      <c r="E65" s="0" t="n">
        <v>1281</v>
      </c>
    </row>
    <row r="66" customFormat="false" ht="15" hidden="false" customHeight="false" outlineLevel="0" collapsed="false">
      <c r="A66" s="0" t="n">
        <v>2020</v>
      </c>
      <c r="B66" s="0" t="s">
        <v>102</v>
      </c>
      <c r="C66" s="0" t="s">
        <v>103</v>
      </c>
      <c r="D66" s="0" t="s">
        <v>73</v>
      </c>
      <c r="E66" s="0" t="n">
        <v>1277</v>
      </c>
    </row>
    <row r="67" customFormat="false" ht="15" hidden="false" customHeight="false" outlineLevel="0" collapsed="false">
      <c r="A67" s="0" t="n">
        <v>2021</v>
      </c>
      <c r="B67" s="0" t="s">
        <v>102</v>
      </c>
      <c r="C67" s="0" t="s">
        <v>103</v>
      </c>
      <c r="D67" s="0" t="s">
        <v>73</v>
      </c>
      <c r="E67" s="0" t="n">
        <v>1278</v>
      </c>
    </row>
    <row r="68" customFormat="false" ht="15" hidden="false" customHeight="false" outlineLevel="0" collapsed="false">
      <c r="A68" s="0" t="n">
        <v>2022</v>
      </c>
      <c r="B68" s="0" t="s">
        <v>102</v>
      </c>
      <c r="C68" s="0" t="s">
        <v>103</v>
      </c>
      <c r="D68" s="0" t="s">
        <v>73</v>
      </c>
      <c r="E68" s="0" t="n">
        <v>1291</v>
      </c>
    </row>
    <row r="69" customFormat="false" ht="15" hidden="false" customHeight="false" outlineLevel="0" collapsed="false">
      <c r="A69" s="0" t="n">
        <v>2023</v>
      </c>
      <c r="B69" s="0" t="s">
        <v>102</v>
      </c>
      <c r="C69" s="0" t="s">
        <v>103</v>
      </c>
      <c r="D69" s="0" t="s">
        <v>73</v>
      </c>
      <c r="E69" s="0" t="n">
        <v>1304</v>
      </c>
    </row>
    <row r="70" customFormat="false" ht="15" hidden="false" customHeight="false" outlineLevel="0" collapsed="false">
      <c r="A70" s="0" t="n">
        <v>2024</v>
      </c>
      <c r="B70" s="0" t="s">
        <v>102</v>
      </c>
      <c r="C70" s="0" t="s">
        <v>103</v>
      </c>
      <c r="D70" s="0" t="s">
        <v>73</v>
      </c>
      <c r="E70" s="0" t="n">
        <v>1327</v>
      </c>
    </row>
    <row r="71" customFormat="false" ht="15" hidden="false" customHeight="false" outlineLevel="0" collapsed="false">
      <c r="A71" s="0" t="n">
        <v>2025</v>
      </c>
      <c r="B71" s="0" t="s">
        <v>102</v>
      </c>
      <c r="C71" s="0" t="s">
        <v>103</v>
      </c>
      <c r="D71" s="0" t="s">
        <v>73</v>
      </c>
      <c r="E71" s="0" t="n">
        <v>1340</v>
      </c>
    </row>
    <row r="72" customFormat="false" ht="15" hidden="false" customHeight="false" outlineLevel="0" collapsed="false">
      <c r="A72" s="0" t="n">
        <v>2016</v>
      </c>
      <c r="B72" s="0" t="s">
        <v>107</v>
      </c>
      <c r="C72" s="0" t="s">
        <v>108</v>
      </c>
      <c r="D72" s="0" t="s">
        <v>72</v>
      </c>
      <c r="E72" s="0" t="n">
        <v>789</v>
      </c>
    </row>
    <row r="73" customFormat="false" ht="15" hidden="false" customHeight="false" outlineLevel="0" collapsed="false">
      <c r="A73" s="0" t="n">
        <v>2017</v>
      </c>
      <c r="B73" s="0" t="s">
        <v>107</v>
      </c>
      <c r="C73" s="0" t="s">
        <v>108</v>
      </c>
      <c r="D73" s="0" t="s">
        <v>72</v>
      </c>
      <c r="E73" s="0" t="n">
        <v>778</v>
      </c>
    </row>
    <row r="74" customFormat="false" ht="15" hidden="false" customHeight="false" outlineLevel="0" collapsed="false">
      <c r="A74" s="0" t="n">
        <v>2018</v>
      </c>
      <c r="B74" s="0" t="s">
        <v>107</v>
      </c>
      <c r="C74" s="0" t="s">
        <v>108</v>
      </c>
      <c r="D74" s="0" t="s">
        <v>72</v>
      </c>
      <c r="E74" s="0" t="n">
        <v>780</v>
      </c>
    </row>
    <row r="75" customFormat="false" ht="15" hidden="false" customHeight="false" outlineLevel="0" collapsed="false">
      <c r="A75" s="0" t="n">
        <v>2019</v>
      </c>
      <c r="B75" s="0" t="s">
        <v>107</v>
      </c>
      <c r="C75" s="0" t="s">
        <v>108</v>
      </c>
      <c r="D75" s="0" t="s">
        <v>72</v>
      </c>
      <c r="E75" s="0" t="n">
        <v>764</v>
      </c>
    </row>
    <row r="76" customFormat="false" ht="15" hidden="false" customHeight="false" outlineLevel="0" collapsed="false">
      <c r="A76" s="0" t="n">
        <v>2020</v>
      </c>
      <c r="B76" s="0" t="s">
        <v>107</v>
      </c>
      <c r="C76" s="0" t="s">
        <v>108</v>
      </c>
      <c r="D76" s="0" t="s">
        <v>72</v>
      </c>
      <c r="E76" s="0" t="n">
        <v>745</v>
      </c>
    </row>
    <row r="77" customFormat="false" ht="15" hidden="false" customHeight="false" outlineLevel="0" collapsed="false">
      <c r="A77" s="0" t="n">
        <v>2021</v>
      </c>
      <c r="B77" s="0" t="s">
        <v>107</v>
      </c>
      <c r="C77" s="0" t="s">
        <v>108</v>
      </c>
      <c r="D77" s="0" t="s">
        <v>72</v>
      </c>
      <c r="E77" s="0" t="n">
        <v>724</v>
      </c>
    </row>
    <row r="78" customFormat="false" ht="15" hidden="false" customHeight="false" outlineLevel="0" collapsed="false">
      <c r="A78" s="0" t="n">
        <v>2022</v>
      </c>
      <c r="B78" s="0" t="s">
        <v>107</v>
      </c>
      <c r="C78" s="0" t="s">
        <v>108</v>
      </c>
      <c r="D78" s="0" t="s">
        <v>72</v>
      </c>
      <c r="E78" s="0" t="n">
        <v>713</v>
      </c>
    </row>
    <row r="79" customFormat="false" ht="15" hidden="false" customHeight="false" outlineLevel="0" collapsed="false">
      <c r="A79" s="0" t="n">
        <v>2023</v>
      </c>
      <c r="B79" s="0" t="s">
        <v>107</v>
      </c>
      <c r="C79" s="0" t="s">
        <v>108</v>
      </c>
      <c r="D79" s="0" t="s">
        <v>72</v>
      </c>
      <c r="E79" s="0" t="n">
        <v>699</v>
      </c>
    </row>
    <row r="80" customFormat="false" ht="15" hidden="false" customHeight="false" outlineLevel="0" collapsed="false">
      <c r="A80" s="0" t="n">
        <v>2024</v>
      </c>
      <c r="B80" s="0" t="s">
        <v>107</v>
      </c>
      <c r="C80" s="0" t="s">
        <v>108</v>
      </c>
      <c r="D80" s="0" t="s">
        <v>72</v>
      </c>
      <c r="E80" s="0" t="n">
        <v>692</v>
      </c>
    </row>
    <row r="81" customFormat="false" ht="15" hidden="false" customHeight="false" outlineLevel="0" collapsed="false">
      <c r="A81" s="0" t="n">
        <v>2025</v>
      </c>
      <c r="B81" s="0" t="s">
        <v>107</v>
      </c>
      <c r="C81" s="0" t="s">
        <v>108</v>
      </c>
      <c r="D81" s="0" t="s">
        <v>72</v>
      </c>
      <c r="E81" s="0" t="n">
        <v>690</v>
      </c>
    </row>
    <row r="82" customFormat="false" ht="15" hidden="false" customHeight="false" outlineLevel="0" collapsed="false">
      <c r="A82" s="0" t="n">
        <v>2016</v>
      </c>
      <c r="B82" s="0" t="s">
        <v>109</v>
      </c>
      <c r="C82" s="0" t="s">
        <v>110</v>
      </c>
      <c r="D82" s="0" t="s">
        <v>74</v>
      </c>
      <c r="E82" s="0" t="n">
        <v>761</v>
      </c>
    </row>
    <row r="83" customFormat="false" ht="15" hidden="false" customHeight="false" outlineLevel="0" collapsed="false">
      <c r="A83" s="0" t="n">
        <v>2017</v>
      </c>
      <c r="B83" s="0" t="s">
        <v>109</v>
      </c>
      <c r="C83" s="0" t="s">
        <v>110</v>
      </c>
      <c r="D83" s="0" t="s">
        <v>74</v>
      </c>
      <c r="E83" s="0" t="n">
        <v>760</v>
      </c>
    </row>
    <row r="84" customFormat="false" ht="15" hidden="false" customHeight="false" outlineLevel="0" collapsed="false">
      <c r="A84" s="0" t="n">
        <v>2018</v>
      </c>
      <c r="B84" s="0" t="s">
        <v>109</v>
      </c>
      <c r="C84" s="0" t="s">
        <v>110</v>
      </c>
      <c r="D84" s="0" t="s">
        <v>74</v>
      </c>
      <c r="E84" s="0" t="n">
        <v>757</v>
      </c>
    </row>
    <row r="85" customFormat="false" ht="15" hidden="false" customHeight="false" outlineLevel="0" collapsed="false">
      <c r="A85" s="0" t="n">
        <v>2019</v>
      </c>
      <c r="B85" s="0" t="s">
        <v>109</v>
      </c>
      <c r="C85" s="0" t="s">
        <v>110</v>
      </c>
      <c r="D85" s="0" t="s">
        <v>74</v>
      </c>
      <c r="E85" s="0" t="n">
        <v>757</v>
      </c>
    </row>
    <row r="86" customFormat="false" ht="15" hidden="false" customHeight="false" outlineLevel="0" collapsed="false">
      <c r="A86" s="0" t="n">
        <v>2020</v>
      </c>
      <c r="B86" s="0" t="s">
        <v>109</v>
      </c>
      <c r="C86" s="0" t="s">
        <v>110</v>
      </c>
      <c r="D86" s="0" t="s">
        <v>74</v>
      </c>
      <c r="E86" s="0" t="n">
        <v>749</v>
      </c>
    </row>
    <row r="87" customFormat="false" ht="15" hidden="false" customHeight="false" outlineLevel="0" collapsed="false">
      <c r="A87" s="0" t="n">
        <v>2021</v>
      </c>
      <c r="B87" s="0" t="s">
        <v>109</v>
      </c>
      <c r="C87" s="0" t="s">
        <v>110</v>
      </c>
      <c r="D87" s="0" t="s">
        <v>74</v>
      </c>
      <c r="E87" s="0" t="n">
        <v>745</v>
      </c>
    </row>
    <row r="88" customFormat="false" ht="15" hidden="false" customHeight="false" outlineLevel="0" collapsed="false">
      <c r="A88" s="0" t="n">
        <v>2022</v>
      </c>
      <c r="B88" s="0" t="s">
        <v>109</v>
      </c>
      <c r="C88" s="0" t="s">
        <v>110</v>
      </c>
      <c r="D88" s="0" t="s">
        <v>74</v>
      </c>
      <c r="E88" s="0" t="n">
        <v>736</v>
      </c>
    </row>
    <row r="89" customFormat="false" ht="15" hidden="false" customHeight="false" outlineLevel="0" collapsed="false">
      <c r="A89" s="0" t="n">
        <v>2023</v>
      </c>
      <c r="B89" s="0" t="s">
        <v>109</v>
      </c>
      <c r="C89" s="0" t="s">
        <v>110</v>
      </c>
      <c r="D89" s="0" t="s">
        <v>74</v>
      </c>
      <c r="E89" s="0" t="n">
        <v>725</v>
      </c>
    </row>
    <row r="90" customFormat="false" ht="15" hidden="false" customHeight="false" outlineLevel="0" collapsed="false">
      <c r="A90" s="0" t="n">
        <v>2024</v>
      </c>
      <c r="B90" s="0" t="s">
        <v>109</v>
      </c>
      <c r="C90" s="0" t="s">
        <v>110</v>
      </c>
      <c r="D90" s="0" t="s">
        <v>74</v>
      </c>
      <c r="E90" s="0" t="n">
        <v>716</v>
      </c>
    </row>
    <row r="91" customFormat="false" ht="15" hidden="false" customHeight="false" outlineLevel="0" collapsed="false">
      <c r="A91" s="0" t="n">
        <v>2025</v>
      </c>
      <c r="B91" s="0" t="s">
        <v>109</v>
      </c>
      <c r="C91" s="0" t="s">
        <v>110</v>
      </c>
      <c r="D91" s="0" t="s">
        <v>74</v>
      </c>
      <c r="E91" s="0" t="n">
        <v>713</v>
      </c>
    </row>
    <row r="92" customFormat="false" ht="15" hidden="false" customHeight="false" outlineLevel="0" collapsed="false">
      <c r="A92" s="0" t="n">
        <v>2016</v>
      </c>
      <c r="B92" s="0" t="s">
        <v>112</v>
      </c>
      <c r="C92" s="0" t="s">
        <v>113</v>
      </c>
      <c r="D92" s="0" t="s">
        <v>74</v>
      </c>
      <c r="E92" s="0" t="n">
        <v>1326</v>
      </c>
    </row>
    <row r="93" customFormat="false" ht="15" hidden="false" customHeight="false" outlineLevel="0" collapsed="false">
      <c r="A93" s="0" t="n">
        <v>2017</v>
      </c>
      <c r="B93" s="0" t="s">
        <v>112</v>
      </c>
      <c r="C93" s="0" t="s">
        <v>113</v>
      </c>
      <c r="D93" s="0" t="s">
        <v>74</v>
      </c>
      <c r="E93" s="0" t="n">
        <v>1319</v>
      </c>
    </row>
    <row r="94" customFormat="false" ht="15" hidden="false" customHeight="false" outlineLevel="0" collapsed="false">
      <c r="A94" s="0" t="n">
        <v>2018</v>
      </c>
      <c r="B94" s="0" t="s">
        <v>112</v>
      </c>
      <c r="C94" s="0" t="s">
        <v>113</v>
      </c>
      <c r="D94" s="0" t="s">
        <v>74</v>
      </c>
      <c r="E94" s="0" t="n">
        <v>1311</v>
      </c>
    </row>
    <row r="95" customFormat="false" ht="15" hidden="false" customHeight="false" outlineLevel="0" collapsed="false">
      <c r="A95" s="0" t="n">
        <v>2019</v>
      </c>
      <c r="B95" s="0" t="s">
        <v>112</v>
      </c>
      <c r="C95" s="0" t="s">
        <v>113</v>
      </c>
      <c r="D95" s="0" t="s">
        <v>74</v>
      </c>
      <c r="E95" s="0" t="n">
        <v>1307</v>
      </c>
    </row>
    <row r="96" customFormat="false" ht="15" hidden="false" customHeight="false" outlineLevel="0" collapsed="false">
      <c r="A96" s="0" t="n">
        <v>2020</v>
      </c>
      <c r="B96" s="0" t="s">
        <v>112</v>
      </c>
      <c r="C96" s="0" t="s">
        <v>113</v>
      </c>
      <c r="D96" s="0" t="s">
        <v>74</v>
      </c>
      <c r="E96" s="0" t="n">
        <v>1302</v>
      </c>
    </row>
    <row r="97" customFormat="false" ht="15" hidden="false" customHeight="false" outlineLevel="0" collapsed="false">
      <c r="A97" s="0" t="n">
        <v>2021</v>
      </c>
      <c r="B97" s="0" t="s">
        <v>112</v>
      </c>
      <c r="C97" s="0" t="s">
        <v>113</v>
      </c>
      <c r="D97" s="0" t="s">
        <v>74</v>
      </c>
      <c r="E97" s="0" t="n">
        <v>1301</v>
      </c>
    </row>
    <row r="98" customFormat="false" ht="15" hidden="false" customHeight="false" outlineLevel="0" collapsed="false">
      <c r="A98" s="0" t="n">
        <v>2022</v>
      </c>
      <c r="B98" s="0" t="s">
        <v>112</v>
      </c>
      <c r="C98" s="0" t="s">
        <v>113</v>
      </c>
      <c r="D98" s="0" t="s">
        <v>74</v>
      </c>
      <c r="E98" s="0" t="n">
        <v>1302</v>
      </c>
    </row>
    <row r="99" customFormat="false" ht="15" hidden="false" customHeight="false" outlineLevel="0" collapsed="false">
      <c r="A99" s="0" t="n">
        <v>2023</v>
      </c>
      <c r="B99" s="0" t="s">
        <v>112</v>
      </c>
      <c r="C99" s="0" t="s">
        <v>113</v>
      </c>
      <c r="D99" s="0" t="s">
        <v>74</v>
      </c>
      <c r="E99" s="0" t="n">
        <v>1296</v>
      </c>
    </row>
    <row r="100" customFormat="false" ht="15" hidden="false" customHeight="false" outlineLevel="0" collapsed="false">
      <c r="A100" s="0" t="n">
        <v>2024</v>
      </c>
      <c r="B100" s="0" t="s">
        <v>112</v>
      </c>
      <c r="C100" s="0" t="s">
        <v>113</v>
      </c>
      <c r="D100" s="0" t="s">
        <v>74</v>
      </c>
      <c r="E100" s="0" t="n">
        <v>1306</v>
      </c>
    </row>
    <row r="101" customFormat="false" ht="15" hidden="false" customHeight="false" outlineLevel="0" collapsed="false">
      <c r="A101" s="0" t="n">
        <v>2025</v>
      </c>
      <c r="B101" s="0" t="s">
        <v>112</v>
      </c>
      <c r="C101" s="0" t="s">
        <v>113</v>
      </c>
      <c r="D101" s="0" t="s">
        <v>74</v>
      </c>
      <c r="E101" s="0" t="n">
        <v>1306</v>
      </c>
    </row>
    <row r="102" customFormat="false" ht="15" hidden="false" customHeight="false" outlineLevel="0" collapsed="false">
      <c r="A102" s="0" t="n">
        <v>2016</v>
      </c>
      <c r="B102" s="0" t="s">
        <v>122</v>
      </c>
      <c r="C102" s="0" t="s">
        <v>123</v>
      </c>
      <c r="D102" s="0" t="s">
        <v>72</v>
      </c>
      <c r="E102" s="0" t="n">
        <v>1210</v>
      </c>
    </row>
    <row r="103" customFormat="false" ht="15" hidden="false" customHeight="false" outlineLevel="0" collapsed="false">
      <c r="A103" s="0" t="n">
        <v>2017</v>
      </c>
      <c r="B103" s="0" t="s">
        <v>122</v>
      </c>
      <c r="C103" s="0" t="s">
        <v>123</v>
      </c>
      <c r="D103" s="0" t="s">
        <v>72</v>
      </c>
      <c r="E103" s="0" t="n">
        <v>1205</v>
      </c>
    </row>
    <row r="104" customFormat="false" ht="15" hidden="false" customHeight="false" outlineLevel="0" collapsed="false">
      <c r="A104" s="0" t="n">
        <v>2018</v>
      </c>
      <c r="B104" s="0" t="s">
        <v>122</v>
      </c>
      <c r="C104" s="0" t="s">
        <v>123</v>
      </c>
      <c r="D104" s="0" t="s">
        <v>72</v>
      </c>
      <c r="E104" s="0" t="n">
        <v>1210</v>
      </c>
    </row>
    <row r="105" customFormat="false" ht="15" hidden="false" customHeight="false" outlineLevel="0" collapsed="false">
      <c r="A105" s="0" t="n">
        <v>2019</v>
      </c>
      <c r="B105" s="0" t="s">
        <v>122</v>
      </c>
      <c r="C105" s="0" t="s">
        <v>123</v>
      </c>
      <c r="D105" s="0" t="s">
        <v>72</v>
      </c>
      <c r="E105" s="0" t="n">
        <v>1212</v>
      </c>
    </row>
    <row r="106" customFormat="false" ht="15" hidden="false" customHeight="false" outlineLevel="0" collapsed="false">
      <c r="A106" s="0" t="n">
        <v>2020</v>
      </c>
      <c r="B106" s="0" t="s">
        <v>122</v>
      </c>
      <c r="C106" s="0" t="s">
        <v>123</v>
      </c>
      <c r="D106" s="0" t="s">
        <v>72</v>
      </c>
      <c r="E106" s="0" t="n">
        <v>1215</v>
      </c>
    </row>
    <row r="107" customFormat="false" ht="15" hidden="false" customHeight="false" outlineLevel="0" collapsed="false">
      <c r="A107" s="0" t="n">
        <v>2021</v>
      </c>
      <c r="B107" s="0" t="s">
        <v>122</v>
      </c>
      <c r="C107" s="0" t="s">
        <v>123</v>
      </c>
      <c r="D107" s="0" t="s">
        <v>72</v>
      </c>
      <c r="E107" s="0" t="n">
        <v>1221</v>
      </c>
    </row>
    <row r="108" customFormat="false" ht="15" hidden="false" customHeight="false" outlineLevel="0" collapsed="false">
      <c r="A108" s="0" t="n">
        <v>2022</v>
      </c>
      <c r="B108" s="0" t="s">
        <v>122</v>
      </c>
      <c r="C108" s="0" t="s">
        <v>123</v>
      </c>
      <c r="D108" s="0" t="s">
        <v>72</v>
      </c>
      <c r="E108" s="0" t="n">
        <v>1224</v>
      </c>
    </row>
    <row r="109" customFormat="false" ht="15" hidden="false" customHeight="false" outlineLevel="0" collapsed="false">
      <c r="A109" s="0" t="n">
        <v>2023</v>
      </c>
      <c r="B109" s="0" t="s">
        <v>122</v>
      </c>
      <c r="C109" s="0" t="s">
        <v>123</v>
      </c>
      <c r="D109" s="0" t="s">
        <v>72</v>
      </c>
      <c r="E109" s="0" t="n">
        <v>1226</v>
      </c>
    </row>
    <row r="110" customFormat="false" ht="15" hidden="false" customHeight="false" outlineLevel="0" collapsed="false">
      <c r="A110" s="0" t="n">
        <v>2024</v>
      </c>
      <c r="B110" s="0" t="s">
        <v>122</v>
      </c>
      <c r="C110" s="0" t="s">
        <v>123</v>
      </c>
      <c r="D110" s="0" t="s">
        <v>72</v>
      </c>
      <c r="E110" s="0" t="n">
        <v>1255</v>
      </c>
    </row>
    <row r="111" customFormat="false" ht="15" hidden="false" customHeight="false" outlineLevel="0" collapsed="false">
      <c r="A111" s="0" t="n">
        <v>2025</v>
      </c>
      <c r="B111" s="0" t="s">
        <v>122</v>
      </c>
      <c r="C111" s="0" t="s">
        <v>123</v>
      </c>
      <c r="D111" s="0" t="s">
        <v>72</v>
      </c>
      <c r="E111" s="0" t="n">
        <v>1264</v>
      </c>
    </row>
    <row r="112" customFormat="false" ht="15" hidden="false" customHeight="false" outlineLevel="0" collapsed="false">
      <c r="A112" s="0" t="n">
        <v>2016</v>
      </c>
      <c r="B112" s="0" t="s">
        <v>125</v>
      </c>
      <c r="C112" s="0" t="s">
        <v>126</v>
      </c>
      <c r="D112" s="0" t="s">
        <v>72</v>
      </c>
      <c r="E112" s="0" t="n">
        <v>658</v>
      </c>
    </row>
    <row r="113" customFormat="false" ht="15" hidden="false" customHeight="false" outlineLevel="0" collapsed="false">
      <c r="A113" s="0" t="n">
        <v>2017</v>
      </c>
      <c r="B113" s="0" t="s">
        <v>125</v>
      </c>
      <c r="C113" s="0" t="s">
        <v>126</v>
      </c>
      <c r="D113" s="0" t="s">
        <v>72</v>
      </c>
      <c r="E113" s="0" t="n">
        <v>650</v>
      </c>
    </row>
    <row r="114" customFormat="false" ht="15" hidden="false" customHeight="false" outlineLevel="0" collapsed="false">
      <c r="A114" s="0" t="n">
        <v>2018</v>
      </c>
      <c r="B114" s="0" t="s">
        <v>125</v>
      </c>
      <c r="C114" s="0" t="s">
        <v>126</v>
      </c>
      <c r="D114" s="0" t="s">
        <v>72</v>
      </c>
      <c r="E114" s="0" t="n">
        <v>643</v>
      </c>
    </row>
    <row r="115" customFormat="false" ht="15" hidden="false" customHeight="false" outlineLevel="0" collapsed="false">
      <c r="A115" s="0" t="n">
        <v>2019</v>
      </c>
      <c r="B115" s="0" t="s">
        <v>125</v>
      </c>
      <c r="C115" s="0" t="s">
        <v>126</v>
      </c>
      <c r="D115" s="0" t="s">
        <v>72</v>
      </c>
      <c r="E115" s="0" t="n">
        <v>630</v>
      </c>
    </row>
    <row r="116" customFormat="false" ht="15" hidden="false" customHeight="false" outlineLevel="0" collapsed="false">
      <c r="A116" s="0" t="n">
        <v>2020</v>
      </c>
      <c r="B116" s="0" t="s">
        <v>125</v>
      </c>
      <c r="C116" s="0" t="s">
        <v>126</v>
      </c>
      <c r="D116" s="0" t="s">
        <v>72</v>
      </c>
      <c r="E116" s="0" t="n">
        <v>627</v>
      </c>
    </row>
    <row r="117" customFormat="false" ht="15" hidden="false" customHeight="false" outlineLevel="0" collapsed="false">
      <c r="A117" s="0" t="n">
        <v>2021</v>
      </c>
      <c r="B117" s="0" t="s">
        <v>125</v>
      </c>
      <c r="C117" s="0" t="s">
        <v>126</v>
      </c>
      <c r="D117" s="0" t="s">
        <v>72</v>
      </c>
      <c r="E117" s="0" t="n">
        <v>597</v>
      </c>
    </row>
    <row r="118" customFormat="false" ht="15" hidden="false" customHeight="false" outlineLevel="0" collapsed="false">
      <c r="A118" s="0" t="n">
        <v>2022</v>
      </c>
      <c r="B118" s="0" t="s">
        <v>125</v>
      </c>
      <c r="C118" s="0" t="s">
        <v>126</v>
      </c>
      <c r="D118" s="0" t="s">
        <v>72</v>
      </c>
      <c r="E118" s="0" t="n">
        <v>583</v>
      </c>
    </row>
    <row r="119" customFormat="false" ht="15" hidden="false" customHeight="false" outlineLevel="0" collapsed="false">
      <c r="A119" s="0" t="n">
        <v>2023</v>
      </c>
      <c r="B119" s="0" t="s">
        <v>125</v>
      </c>
      <c r="C119" s="0" t="s">
        <v>126</v>
      </c>
      <c r="D119" s="0" t="s">
        <v>72</v>
      </c>
      <c r="E119" s="0" t="n">
        <v>573</v>
      </c>
    </row>
    <row r="120" customFormat="false" ht="15" hidden="false" customHeight="false" outlineLevel="0" collapsed="false">
      <c r="A120" s="0" t="n">
        <v>2024</v>
      </c>
      <c r="B120" s="0" t="s">
        <v>125</v>
      </c>
      <c r="C120" s="0" t="s">
        <v>126</v>
      </c>
      <c r="D120" s="0" t="s">
        <v>72</v>
      </c>
      <c r="E120" s="0" t="n">
        <v>571</v>
      </c>
    </row>
    <row r="121" customFormat="false" ht="15" hidden="false" customHeight="false" outlineLevel="0" collapsed="false">
      <c r="A121" s="0" t="n">
        <v>2025</v>
      </c>
      <c r="B121" s="0" t="s">
        <v>125</v>
      </c>
      <c r="C121" s="0" t="s">
        <v>126</v>
      </c>
      <c r="D121" s="0" t="s">
        <v>72</v>
      </c>
      <c r="E121" s="0" t="n">
        <v>570</v>
      </c>
    </row>
    <row r="122" customFormat="false" ht="15" hidden="false" customHeight="false" outlineLevel="0" collapsed="false">
      <c r="A122" s="0" t="n">
        <v>2016</v>
      </c>
      <c r="B122" s="0" t="s">
        <v>117</v>
      </c>
      <c r="C122" s="0" t="s">
        <v>118</v>
      </c>
      <c r="D122" s="0" t="s">
        <v>72</v>
      </c>
      <c r="E122" s="0" t="n">
        <v>1464</v>
      </c>
    </row>
    <row r="123" customFormat="false" ht="15" hidden="false" customHeight="false" outlineLevel="0" collapsed="false">
      <c r="A123" s="0" t="n">
        <v>2017</v>
      </c>
      <c r="B123" s="0" t="s">
        <v>117</v>
      </c>
      <c r="C123" s="0" t="s">
        <v>118</v>
      </c>
      <c r="D123" s="0" t="s">
        <v>72</v>
      </c>
      <c r="E123" s="0" t="n">
        <v>1080</v>
      </c>
    </row>
    <row r="124" customFormat="false" ht="15" hidden="false" customHeight="false" outlineLevel="0" collapsed="false">
      <c r="A124" s="0" t="n">
        <v>2018</v>
      </c>
      <c r="B124" s="0" t="s">
        <v>117</v>
      </c>
      <c r="C124" s="0" t="s">
        <v>118</v>
      </c>
      <c r="D124" s="0" t="s">
        <v>72</v>
      </c>
      <c r="E124" s="0" t="n">
        <v>1073</v>
      </c>
    </row>
    <row r="125" customFormat="false" ht="15" hidden="false" customHeight="false" outlineLevel="0" collapsed="false">
      <c r="A125" s="0" t="n">
        <v>2019</v>
      </c>
      <c r="B125" s="0" t="s">
        <v>117</v>
      </c>
      <c r="C125" s="0" t="s">
        <v>118</v>
      </c>
      <c r="D125" s="0" t="s">
        <v>72</v>
      </c>
      <c r="E125" s="0" t="n">
        <v>1074</v>
      </c>
    </row>
    <row r="126" customFormat="false" ht="15" hidden="false" customHeight="false" outlineLevel="0" collapsed="false">
      <c r="A126" s="0" t="n">
        <v>2020</v>
      </c>
      <c r="B126" s="0" t="s">
        <v>117</v>
      </c>
      <c r="C126" s="0" t="s">
        <v>118</v>
      </c>
      <c r="D126" s="0" t="s">
        <v>72</v>
      </c>
      <c r="E126" s="0" t="n">
        <v>1074</v>
      </c>
    </row>
    <row r="127" customFormat="false" ht="15" hidden="false" customHeight="false" outlineLevel="0" collapsed="false">
      <c r="A127" s="0" t="n">
        <v>2021</v>
      </c>
      <c r="B127" s="0" t="s">
        <v>117</v>
      </c>
      <c r="C127" s="0" t="s">
        <v>118</v>
      </c>
      <c r="D127" s="0" t="s">
        <v>72</v>
      </c>
      <c r="E127" s="0" t="n">
        <v>1073</v>
      </c>
    </row>
    <row r="128" customFormat="false" ht="15" hidden="false" customHeight="false" outlineLevel="0" collapsed="false">
      <c r="A128" s="0" t="n">
        <v>2022</v>
      </c>
      <c r="B128" s="0" t="s">
        <v>117</v>
      </c>
      <c r="C128" s="0" t="s">
        <v>118</v>
      </c>
      <c r="D128" s="0" t="s">
        <v>72</v>
      </c>
      <c r="E128" s="0" t="n">
        <v>1073</v>
      </c>
    </row>
    <row r="129" customFormat="false" ht="15" hidden="false" customHeight="false" outlineLevel="0" collapsed="false">
      <c r="A129" s="0" t="n">
        <v>2023</v>
      </c>
      <c r="B129" s="0" t="s">
        <v>117</v>
      </c>
      <c r="C129" s="0" t="s">
        <v>118</v>
      </c>
      <c r="D129" s="0" t="s">
        <v>72</v>
      </c>
      <c r="E129" s="0" t="n">
        <v>1075</v>
      </c>
    </row>
    <row r="130" customFormat="false" ht="15" hidden="false" customHeight="false" outlineLevel="0" collapsed="false">
      <c r="A130" s="0" t="n">
        <v>2024</v>
      </c>
      <c r="B130" s="0" t="s">
        <v>117</v>
      </c>
      <c r="C130" s="0" t="s">
        <v>118</v>
      </c>
      <c r="D130" s="0" t="s">
        <v>72</v>
      </c>
      <c r="E130" s="0" t="n">
        <v>1088</v>
      </c>
    </row>
    <row r="131" customFormat="false" ht="15" hidden="false" customHeight="false" outlineLevel="0" collapsed="false">
      <c r="A131" s="0" t="n">
        <v>2025</v>
      </c>
      <c r="B131" s="0" t="s">
        <v>117</v>
      </c>
      <c r="C131" s="0" t="s">
        <v>118</v>
      </c>
      <c r="D131" s="0" t="s">
        <v>72</v>
      </c>
      <c r="E131" s="0" t="n">
        <v>1102</v>
      </c>
    </row>
    <row r="132" customFormat="false" ht="15" hidden="false" customHeight="false" outlineLevel="0" collapsed="false">
      <c r="A132" s="0" t="n">
        <v>2016</v>
      </c>
      <c r="B132" s="0" t="s">
        <v>120</v>
      </c>
      <c r="C132" s="0" t="s">
        <v>121</v>
      </c>
      <c r="D132" s="0" t="s">
        <v>74</v>
      </c>
      <c r="E132" s="0" t="n">
        <v>1187</v>
      </c>
    </row>
    <row r="133" customFormat="false" ht="15" hidden="false" customHeight="false" outlineLevel="0" collapsed="false">
      <c r="A133" s="0" t="n">
        <v>2017</v>
      </c>
      <c r="B133" s="0" t="s">
        <v>120</v>
      </c>
      <c r="C133" s="0" t="s">
        <v>121</v>
      </c>
      <c r="D133" s="0" t="s">
        <v>74</v>
      </c>
      <c r="E133" s="0" t="n">
        <v>1184</v>
      </c>
    </row>
    <row r="134" customFormat="false" ht="15" hidden="false" customHeight="false" outlineLevel="0" collapsed="false">
      <c r="A134" s="0" t="n">
        <v>2018</v>
      </c>
      <c r="B134" s="0" t="s">
        <v>120</v>
      </c>
      <c r="C134" s="0" t="s">
        <v>121</v>
      </c>
      <c r="D134" s="0" t="s">
        <v>74</v>
      </c>
      <c r="E134" s="0" t="n">
        <v>1141</v>
      </c>
    </row>
    <row r="135" customFormat="false" ht="15" hidden="false" customHeight="false" outlineLevel="0" collapsed="false">
      <c r="A135" s="0" t="n">
        <v>2019</v>
      </c>
      <c r="B135" s="0" t="s">
        <v>120</v>
      </c>
      <c r="C135" s="0" t="s">
        <v>121</v>
      </c>
      <c r="D135" s="0" t="s">
        <v>74</v>
      </c>
      <c r="E135" s="0" t="n">
        <v>1094</v>
      </c>
    </row>
    <row r="136" customFormat="false" ht="15" hidden="false" customHeight="false" outlineLevel="0" collapsed="false">
      <c r="A136" s="0" t="n">
        <v>2020</v>
      </c>
      <c r="B136" s="0" t="s">
        <v>120</v>
      </c>
      <c r="C136" s="0" t="s">
        <v>121</v>
      </c>
      <c r="D136" s="0" t="s">
        <v>74</v>
      </c>
      <c r="E136" s="0" t="n">
        <v>1025</v>
      </c>
    </row>
    <row r="137" customFormat="false" ht="15" hidden="false" customHeight="false" outlineLevel="0" collapsed="false">
      <c r="A137" s="0" t="n">
        <v>2021</v>
      </c>
      <c r="B137" s="0" t="s">
        <v>120</v>
      </c>
      <c r="C137" s="0" t="s">
        <v>121</v>
      </c>
      <c r="D137" s="0" t="s">
        <v>74</v>
      </c>
      <c r="E137" s="0" t="n">
        <v>903</v>
      </c>
    </row>
    <row r="138" customFormat="false" ht="15" hidden="false" customHeight="false" outlineLevel="0" collapsed="false">
      <c r="A138" s="0" t="n">
        <v>2022</v>
      </c>
      <c r="B138" s="0" t="s">
        <v>120</v>
      </c>
      <c r="C138" s="0" t="s">
        <v>121</v>
      </c>
      <c r="D138" s="0" t="s">
        <v>74</v>
      </c>
      <c r="E138" s="0" t="n">
        <v>831</v>
      </c>
    </row>
    <row r="139" customFormat="false" ht="15" hidden="false" customHeight="false" outlineLevel="0" collapsed="false">
      <c r="A139" s="0" t="n">
        <v>2023</v>
      </c>
      <c r="B139" s="0" t="s">
        <v>120</v>
      </c>
      <c r="C139" s="0" t="s">
        <v>121</v>
      </c>
      <c r="D139" s="0" t="s">
        <v>74</v>
      </c>
      <c r="E139" s="0" t="n">
        <v>821</v>
      </c>
    </row>
    <row r="140" customFormat="false" ht="15" hidden="false" customHeight="false" outlineLevel="0" collapsed="false">
      <c r="A140" s="0" t="n">
        <v>2024</v>
      </c>
      <c r="B140" s="0" t="s">
        <v>120</v>
      </c>
      <c r="C140" s="0" t="s">
        <v>121</v>
      </c>
      <c r="D140" s="0" t="s">
        <v>74</v>
      </c>
      <c r="E140" s="0" t="n">
        <v>813</v>
      </c>
    </row>
    <row r="141" customFormat="false" ht="15" hidden="false" customHeight="false" outlineLevel="0" collapsed="false">
      <c r="A141" s="0" t="n">
        <v>2025</v>
      </c>
      <c r="B141" s="0" t="s">
        <v>120</v>
      </c>
      <c r="C141" s="0" t="s">
        <v>121</v>
      </c>
      <c r="D141" s="0" t="s">
        <v>74</v>
      </c>
      <c r="E141" s="0" t="n">
        <v>795</v>
      </c>
    </row>
    <row r="142" customFormat="false" ht="15" hidden="false" customHeight="false" outlineLevel="0" collapsed="false">
      <c r="A142" s="0" t="n">
        <v>2016</v>
      </c>
      <c r="B142" s="0" t="s">
        <v>127</v>
      </c>
      <c r="C142" s="0" t="s">
        <v>128</v>
      </c>
      <c r="D142" s="0" t="s">
        <v>72</v>
      </c>
      <c r="E142" s="0" t="n">
        <v>2080</v>
      </c>
    </row>
    <row r="143" customFormat="false" ht="15" hidden="false" customHeight="false" outlineLevel="0" collapsed="false">
      <c r="A143" s="0" t="n">
        <v>2017</v>
      </c>
      <c r="B143" s="0" t="s">
        <v>127</v>
      </c>
      <c r="C143" s="0" t="s">
        <v>128</v>
      </c>
      <c r="D143" s="0" t="s">
        <v>72</v>
      </c>
      <c r="E143" s="0" t="n">
        <v>2053</v>
      </c>
    </row>
    <row r="144" customFormat="false" ht="15" hidden="false" customHeight="false" outlineLevel="0" collapsed="false">
      <c r="A144" s="0" t="n">
        <v>2018</v>
      </c>
      <c r="B144" s="0" t="s">
        <v>127</v>
      </c>
      <c r="C144" s="0" t="s">
        <v>128</v>
      </c>
      <c r="D144" s="0" t="s">
        <v>72</v>
      </c>
      <c r="E144" s="0" t="n">
        <v>2050</v>
      </c>
    </row>
    <row r="145" customFormat="false" ht="15" hidden="false" customHeight="false" outlineLevel="0" collapsed="false">
      <c r="A145" s="0" t="n">
        <v>2019</v>
      </c>
      <c r="B145" s="0" t="s">
        <v>127</v>
      </c>
      <c r="C145" s="0" t="s">
        <v>128</v>
      </c>
      <c r="D145" s="0" t="s">
        <v>72</v>
      </c>
      <c r="E145" s="0" t="n">
        <v>2047</v>
      </c>
    </row>
    <row r="146" customFormat="false" ht="15" hidden="false" customHeight="false" outlineLevel="0" collapsed="false">
      <c r="A146" s="0" t="n">
        <v>2020</v>
      </c>
      <c r="B146" s="0" t="s">
        <v>127</v>
      </c>
      <c r="C146" s="0" t="s">
        <v>128</v>
      </c>
      <c r="D146" s="0" t="s">
        <v>72</v>
      </c>
      <c r="E146" s="0" t="n">
        <v>2054</v>
      </c>
    </row>
    <row r="147" customFormat="false" ht="15" hidden="false" customHeight="false" outlineLevel="0" collapsed="false">
      <c r="A147" s="0" t="n">
        <v>2021</v>
      </c>
      <c r="B147" s="0" t="s">
        <v>127</v>
      </c>
      <c r="C147" s="0" t="s">
        <v>128</v>
      </c>
      <c r="D147" s="0" t="s">
        <v>72</v>
      </c>
      <c r="E147" s="0" t="n">
        <v>2062</v>
      </c>
    </row>
    <row r="148" customFormat="false" ht="15" hidden="false" customHeight="false" outlineLevel="0" collapsed="false">
      <c r="A148" s="0" t="n">
        <v>2022</v>
      </c>
      <c r="B148" s="0" t="s">
        <v>127</v>
      </c>
      <c r="C148" s="0" t="s">
        <v>128</v>
      </c>
      <c r="D148" s="0" t="s">
        <v>72</v>
      </c>
      <c r="E148" s="0" t="n">
        <v>2075</v>
      </c>
    </row>
    <row r="149" customFormat="false" ht="15" hidden="false" customHeight="false" outlineLevel="0" collapsed="false">
      <c r="A149" s="0" t="n">
        <v>2023</v>
      </c>
      <c r="B149" s="0" t="s">
        <v>127</v>
      </c>
      <c r="C149" s="0" t="s">
        <v>128</v>
      </c>
      <c r="D149" s="0" t="s">
        <v>72</v>
      </c>
      <c r="E149" s="0" t="n">
        <v>2111</v>
      </c>
    </row>
    <row r="150" customFormat="false" ht="15" hidden="false" customHeight="false" outlineLevel="0" collapsed="false">
      <c r="A150" s="0" t="n">
        <v>2024</v>
      </c>
      <c r="B150" s="0" t="s">
        <v>127</v>
      </c>
      <c r="C150" s="0" t="s">
        <v>128</v>
      </c>
      <c r="D150" s="0" t="s">
        <v>72</v>
      </c>
      <c r="E150" s="0" t="n">
        <v>2166</v>
      </c>
    </row>
    <row r="151" customFormat="false" ht="15" hidden="false" customHeight="false" outlineLevel="0" collapsed="false">
      <c r="A151" s="0" t="n">
        <v>2025</v>
      </c>
      <c r="B151" s="0" t="s">
        <v>127</v>
      </c>
      <c r="C151" s="0" t="s">
        <v>128</v>
      </c>
      <c r="D151" s="0" t="s">
        <v>72</v>
      </c>
      <c r="E151" s="0" t="n">
        <v>2222</v>
      </c>
    </row>
    <row r="152" customFormat="false" ht="15" hidden="false" customHeight="false" outlineLevel="0" collapsed="false">
      <c r="A152" s="0" t="n">
        <v>2016</v>
      </c>
      <c r="B152" s="0" t="s">
        <v>135</v>
      </c>
      <c r="C152" s="0" t="s">
        <v>136</v>
      </c>
      <c r="D152" s="0" t="s">
        <v>74</v>
      </c>
      <c r="E152" s="0" t="n">
        <v>797</v>
      </c>
    </row>
    <row r="153" customFormat="false" ht="15" hidden="false" customHeight="false" outlineLevel="0" collapsed="false">
      <c r="A153" s="0" t="n">
        <v>2017</v>
      </c>
      <c r="B153" s="0" t="s">
        <v>135</v>
      </c>
      <c r="C153" s="0" t="s">
        <v>136</v>
      </c>
      <c r="D153" s="0" t="s">
        <v>74</v>
      </c>
      <c r="E153" s="0" t="n">
        <v>797</v>
      </c>
    </row>
    <row r="154" customFormat="false" ht="15" hidden="false" customHeight="false" outlineLevel="0" collapsed="false">
      <c r="A154" s="0" t="n">
        <v>2018</v>
      </c>
      <c r="B154" s="0" t="s">
        <v>135</v>
      </c>
      <c r="C154" s="0" t="s">
        <v>136</v>
      </c>
      <c r="D154" s="0" t="s">
        <v>74</v>
      </c>
      <c r="E154" s="0" t="n">
        <v>941</v>
      </c>
    </row>
    <row r="155" customFormat="false" ht="15" hidden="false" customHeight="false" outlineLevel="0" collapsed="false">
      <c r="A155" s="0" t="n">
        <v>2019</v>
      </c>
      <c r="B155" s="0" t="s">
        <v>135</v>
      </c>
      <c r="C155" s="0" t="s">
        <v>136</v>
      </c>
      <c r="D155" s="0" t="s">
        <v>74</v>
      </c>
      <c r="E155" s="0" t="n">
        <v>941</v>
      </c>
    </row>
    <row r="156" customFormat="false" ht="15" hidden="false" customHeight="false" outlineLevel="0" collapsed="false">
      <c r="A156" s="0" t="n">
        <v>2020</v>
      </c>
      <c r="B156" s="0" t="s">
        <v>135</v>
      </c>
      <c r="C156" s="0" t="s">
        <v>136</v>
      </c>
      <c r="D156" s="0" t="s">
        <v>74</v>
      </c>
      <c r="E156" s="0" t="n">
        <v>942</v>
      </c>
    </row>
    <row r="157" customFormat="false" ht="15" hidden="false" customHeight="false" outlineLevel="0" collapsed="false">
      <c r="A157" s="0" t="n">
        <v>2021</v>
      </c>
      <c r="B157" s="0" t="s">
        <v>135</v>
      </c>
      <c r="C157" s="0" t="s">
        <v>136</v>
      </c>
      <c r="D157" s="0" t="s">
        <v>74</v>
      </c>
      <c r="E157" s="0" t="n">
        <v>941</v>
      </c>
    </row>
    <row r="158" customFormat="false" ht="15" hidden="false" customHeight="false" outlineLevel="0" collapsed="false">
      <c r="A158" s="0" t="n">
        <v>2022</v>
      </c>
      <c r="B158" s="0" t="s">
        <v>135</v>
      </c>
      <c r="C158" s="0" t="s">
        <v>136</v>
      </c>
      <c r="D158" s="0" t="s">
        <v>74</v>
      </c>
      <c r="E158" s="0" t="n">
        <v>945</v>
      </c>
    </row>
    <row r="159" customFormat="false" ht="15" hidden="false" customHeight="false" outlineLevel="0" collapsed="false">
      <c r="A159" s="0" t="n">
        <v>2023</v>
      </c>
      <c r="B159" s="0" t="s">
        <v>135</v>
      </c>
      <c r="C159" s="0" t="s">
        <v>136</v>
      </c>
      <c r="D159" s="0" t="s">
        <v>74</v>
      </c>
      <c r="E159" s="0" t="n">
        <v>948</v>
      </c>
    </row>
    <row r="160" customFormat="false" ht="15" hidden="false" customHeight="false" outlineLevel="0" collapsed="false">
      <c r="A160" s="0" t="n">
        <v>2024</v>
      </c>
      <c r="B160" s="0" t="s">
        <v>135</v>
      </c>
      <c r="C160" s="0" t="s">
        <v>136</v>
      </c>
      <c r="D160" s="0" t="s">
        <v>74</v>
      </c>
      <c r="E160" s="0" t="n">
        <v>1042</v>
      </c>
    </row>
    <row r="161" customFormat="false" ht="15" hidden="false" customHeight="false" outlineLevel="0" collapsed="false">
      <c r="A161" s="0" t="n">
        <v>2025</v>
      </c>
      <c r="B161" s="0" t="s">
        <v>135</v>
      </c>
      <c r="C161" s="0" t="s">
        <v>136</v>
      </c>
      <c r="D161" s="0" t="s">
        <v>74</v>
      </c>
      <c r="E161" s="0" t="n">
        <v>1074</v>
      </c>
    </row>
    <row r="162" customFormat="false" ht="15" hidden="false" customHeight="false" outlineLevel="0" collapsed="false">
      <c r="A162" s="0" t="n">
        <v>2016</v>
      </c>
      <c r="B162" s="0" t="s">
        <v>133</v>
      </c>
      <c r="C162" s="0" t="s">
        <v>134</v>
      </c>
      <c r="D162" s="0" t="s">
        <v>72</v>
      </c>
      <c r="E162" s="0" t="n">
        <v>1532</v>
      </c>
    </row>
    <row r="163" customFormat="false" ht="15" hidden="false" customHeight="false" outlineLevel="0" collapsed="false">
      <c r="A163" s="0" t="n">
        <v>2017</v>
      </c>
      <c r="B163" s="0" t="s">
        <v>133</v>
      </c>
      <c r="C163" s="0" t="s">
        <v>134</v>
      </c>
      <c r="D163" s="0" t="s">
        <v>72</v>
      </c>
      <c r="E163" s="0" t="n">
        <v>1538</v>
      </c>
    </row>
    <row r="164" customFormat="false" ht="15" hidden="false" customHeight="false" outlineLevel="0" collapsed="false">
      <c r="A164" s="0" t="n">
        <v>2018</v>
      </c>
      <c r="B164" s="0" t="s">
        <v>133</v>
      </c>
      <c r="C164" s="0" t="s">
        <v>134</v>
      </c>
      <c r="D164" s="0" t="s">
        <v>72</v>
      </c>
      <c r="E164" s="0" t="n">
        <v>1538</v>
      </c>
    </row>
    <row r="165" customFormat="false" ht="15" hidden="false" customHeight="false" outlineLevel="0" collapsed="false">
      <c r="A165" s="0" t="n">
        <v>2019</v>
      </c>
      <c r="B165" s="0" t="s">
        <v>133</v>
      </c>
      <c r="C165" s="0" t="s">
        <v>134</v>
      </c>
      <c r="D165" s="0" t="s">
        <v>72</v>
      </c>
      <c r="E165" s="0" t="n">
        <v>1539</v>
      </c>
    </row>
    <row r="166" customFormat="false" ht="15" hidden="false" customHeight="false" outlineLevel="0" collapsed="false">
      <c r="A166" s="0" t="n">
        <v>2020</v>
      </c>
      <c r="B166" s="0" t="s">
        <v>133</v>
      </c>
      <c r="C166" s="0" t="s">
        <v>134</v>
      </c>
      <c r="D166" s="0" t="s">
        <v>72</v>
      </c>
      <c r="E166" s="0" t="n">
        <v>1542</v>
      </c>
    </row>
    <row r="167" customFormat="false" ht="15" hidden="false" customHeight="false" outlineLevel="0" collapsed="false">
      <c r="A167" s="0" t="n">
        <v>2021</v>
      </c>
      <c r="B167" s="0" t="s">
        <v>133</v>
      </c>
      <c r="C167" s="0" t="s">
        <v>134</v>
      </c>
      <c r="D167" s="0" t="s">
        <v>72</v>
      </c>
      <c r="E167" s="0" t="n">
        <v>1514</v>
      </c>
    </row>
    <row r="168" customFormat="false" ht="15" hidden="false" customHeight="false" outlineLevel="0" collapsed="false">
      <c r="A168" s="0" t="n">
        <v>2022</v>
      </c>
      <c r="B168" s="0" t="s">
        <v>133</v>
      </c>
      <c r="C168" s="0" t="s">
        <v>134</v>
      </c>
      <c r="D168" s="0" t="s">
        <v>72</v>
      </c>
      <c r="E168" s="0" t="n">
        <v>1518</v>
      </c>
    </row>
    <row r="169" customFormat="false" ht="15" hidden="false" customHeight="false" outlineLevel="0" collapsed="false">
      <c r="A169" s="0" t="n">
        <v>2023</v>
      </c>
      <c r="B169" s="0" t="s">
        <v>133</v>
      </c>
      <c r="C169" s="0" t="s">
        <v>134</v>
      </c>
      <c r="D169" s="0" t="s">
        <v>72</v>
      </c>
      <c r="E169" s="0" t="n">
        <v>1521</v>
      </c>
    </row>
    <row r="170" customFormat="false" ht="15" hidden="false" customHeight="false" outlineLevel="0" collapsed="false">
      <c r="A170" s="0" t="n">
        <v>2024</v>
      </c>
      <c r="B170" s="0" t="s">
        <v>133</v>
      </c>
      <c r="C170" s="0" t="s">
        <v>134</v>
      </c>
      <c r="D170" s="0" t="s">
        <v>72</v>
      </c>
      <c r="E170" s="0" t="n">
        <v>1523</v>
      </c>
    </row>
    <row r="171" customFormat="false" ht="15" hidden="false" customHeight="false" outlineLevel="0" collapsed="false">
      <c r="A171" s="0" t="n">
        <v>2025</v>
      </c>
      <c r="B171" s="0" t="s">
        <v>133</v>
      </c>
      <c r="C171" s="0" t="s">
        <v>134</v>
      </c>
      <c r="D171" s="0" t="s">
        <v>72</v>
      </c>
      <c r="E171" s="0" t="n">
        <v>1548</v>
      </c>
    </row>
    <row r="172" customFormat="false" ht="15" hidden="false" customHeight="false" outlineLevel="0" collapsed="false">
      <c r="A172" s="0" t="n">
        <v>2016</v>
      </c>
      <c r="B172" s="0" t="s">
        <v>115</v>
      </c>
      <c r="C172" s="0" t="s">
        <v>116</v>
      </c>
      <c r="D172" s="0" t="s">
        <v>74</v>
      </c>
    </row>
    <row r="173" customFormat="false" ht="15" hidden="false" customHeight="false" outlineLevel="0" collapsed="false">
      <c r="A173" s="0" t="n">
        <v>2017</v>
      </c>
      <c r="B173" s="0" t="s">
        <v>115</v>
      </c>
      <c r="C173" s="0" t="s">
        <v>116</v>
      </c>
      <c r="D173" s="0" t="s">
        <v>74</v>
      </c>
    </row>
    <row r="174" customFormat="false" ht="15" hidden="false" customHeight="false" outlineLevel="0" collapsed="false">
      <c r="A174" s="0" t="n">
        <v>2018</v>
      </c>
      <c r="B174" s="0" t="s">
        <v>115</v>
      </c>
      <c r="C174" s="0" t="s">
        <v>116</v>
      </c>
      <c r="D174" s="0" t="s">
        <v>74</v>
      </c>
    </row>
    <row r="175" customFormat="false" ht="15" hidden="false" customHeight="false" outlineLevel="0" collapsed="false">
      <c r="A175" s="0" t="n">
        <v>2019</v>
      </c>
      <c r="B175" s="0" t="s">
        <v>115</v>
      </c>
      <c r="C175" s="0" t="s">
        <v>116</v>
      </c>
      <c r="D175" s="0" t="s">
        <v>74</v>
      </c>
      <c r="E175" s="0" t="n">
        <v>1209</v>
      </c>
    </row>
    <row r="176" customFormat="false" ht="15" hidden="false" customHeight="false" outlineLevel="0" collapsed="false">
      <c r="A176" s="0" t="n">
        <v>2020</v>
      </c>
      <c r="B176" s="0" t="s">
        <v>115</v>
      </c>
      <c r="C176" s="0" t="s">
        <v>116</v>
      </c>
      <c r="D176" s="0" t="s">
        <v>74</v>
      </c>
      <c r="E176" s="0" t="n">
        <v>1201</v>
      </c>
    </row>
    <row r="177" customFormat="false" ht="15" hidden="false" customHeight="false" outlineLevel="0" collapsed="false">
      <c r="A177" s="0" t="n">
        <v>2021</v>
      </c>
      <c r="B177" s="0" t="s">
        <v>115</v>
      </c>
      <c r="C177" s="0" t="s">
        <v>116</v>
      </c>
      <c r="D177" s="0" t="s">
        <v>74</v>
      </c>
      <c r="E177" s="0" t="n">
        <v>1198</v>
      </c>
    </row>
    <row r="178" customFormat="false" ht="15" hidden="false" customHeight="false" outlineLevel="0" collapsed="false">
      <c r="A178" s="0" t="n">
        <v>2022</v>
      </c>
      <c r="B178" s="0" t="s">
        <v>115</v>
      </c>
      <c r="C178" s="0" t="s">
        <v>116</v>
      </c>
      <c r="D178" s="0" t="s">
        <v>74</v>
      </c>
      <c r="E178" s="0" t="n">
        <v>1196</v>
      </c>
    </row>
    <row r="179" customFormat="false" ht="15" hidden="false" customHeight="false" outlineLevel="0" collapsed="false">
      <c r="A179" s="0" t="n">
        <v>2023</v>
      </c>
      <c r="B179" s="0" t="s">
        <v>115</v>
      </c>
      <c r="C179" s="0" t="s">
        <v>116</v>
      </c>
      <c r="D179" s="0" t="s">
        <v>74</v>
      </c>
      <c r="E179" s="0" t="n">
        <v>1203</v>
      </c>
    </row>
    <row r="180" customFormat="false" ht="15" hidden="false" customHeight="false" outlineLevel="0" collapsed="false">
      <c r="A180" s="0" t="n">
        <v>2024</v>
      </c>
      <c r="B180" s="0" t="s">
        <v>115</v>
      </c>
      <c r="C180" s="0" t="s">
        <v>116</v>
      </c>
      <c r="D180" s="0" t="s">
        <v>74</v>
      </c>
      <c r="E180" s="0" t="n">
        <v>1210</v>
      </c>
    </row>
    <row r="181" customFormat="false" ht="15" hidden="false" customHeight="false" outlineLevel="0" collapsed="false">
      <c r="A181" s="0" t="n">
        <v>2025</v>
      </c>
      <c r="B181" s="0" t="s">
        <v>115</v>
      </c>
      <c r="C181" s="0" t="s">
        <v>116</v>
      </c>
      <c r="D181" s="0" t="s">
        <v>74</v>
      </c>
      <c r="E181" s="0" t="n">
        <v>1217</v>
      </c>
    </row>
    <row r="182" customFormat="false" ht="15" hidden="false" customHeight="false" outlineLevel="0" collapsed="false">
      <c r="A182" s="0" t="n">
        <v>2016</v>
      </c>
      <c r="B182" s="0" t="s">
        <v>130</v>
      </c>
      <c r="C182" s="0" t="s">
        <v>131</v>
      </c>
      <c r="D182" s="0" t="s">
        <v>72</v>
      </c>
      <c r="E182" s="0" t="n">
        <v>2810</v>
      </c>
    </row>
    <row r="183" customFormat="false" ht="15" hidden="false" customHeight="false" outlineLevel="0" collapsed="false">
      <c r="A183" s="0" t="n">
        <v>2017</v>
      </c>
      <c r="B183" s="0" t="s">
        <v>130</v>
      </c>
      <c r="C183" s="0" t="s">
        <v>131</v>
      </c>
      <c r="D183" s="0" t="s">
        <v>72</v>
      </c>
      <c r="E183" s="0" t="n">
        <v>2827</v>
      </c>
    </row>
    <row r="184" customFormat="false" ht="15" hidden="false" customHeight="false" outlineLevel="0" collapsed="false">
      <c r="A184" s="0" t="n">
        <v>2018</v>
      </c>
      <c r="B184" s="0" t="s">
        <v>130</v>
      </c>
      <c r="C184" s="0" t="s">
        <v>131</v>
      </c>
      <c r="D184" s="0" t="s">
        <v>72</v>
      </c>
      <c r="E184" s="0" t="n">
        <v>2859</v>
      </c>
    </row>
    <row r="185" customFormat="false" ht="15" hidden="false" customHeight="false" outlineLevel="0" collapsed="false">
      <c r="A185" s="0" t="n">
        <v>2019</v>
      </c>
      <c r="B185" s="0" t="s">
        <v>130</v>
      </c>
      <c r="C185" s="0" t="s">
        <v>131</v>
      </c>
      <c r="D185" s="0" t="s">
        <v>72</v>
      </c>
      <c r="E185" s="0" t="n">
        <v>2868</v>
      </c>
    </row>
    <row r="186" customFormat="false" ht="15" hidden="false" customHeight="false" outlineLevel="0" collapsed="false">
      <c r="A186" s="0" t="n">
        <v>2020</v>
      </c>
      <c r="B186" s="0" t="s">
        <v>130</v>
      </c>
      <c r="C186" s="0" t="s">
        <v>131</v>
      </c>
      <c r="D186" s="0" t="s">
        <v>72</v>
      </c>
      <c r="E186" s="0" t="n">
        <v>2878</v>
      </c>
    </row>
    <row r="187" customFormat="false" ht="15" hidden="false" customHeight="false" outlineLevel="0" collapsed="false">
      <c r="A187" s="0" t="n">
        <v>2021</v>
      </c>
      <c r="B187" s="0" t="s">
        <v>130</v>
      </c>
      <c r="C187" s="0" t="s">
        <v>131</v>
      </c>
      <c r="D187" s="0" t="s">
        <v>72</v>
      </c>
      <c r="E187" s="0" t="n">
        <v>2899</v>
      </c>
    </row>
    <row r="188" customFormat="false" ht="15" hidden="false" customHeight="false" outlineLevel="0" collapsed="false">
      <c r="A188" s="0" t="n">
        <v>2022</v>
      </c>
      <c r="B188" s="0" t="s">
        <v>130</v>
      </c>
      <c r="C188" s="0" t="s">
        <v>131</v>
      </c>
      <c r="D188" s="0" t="s">
        <v>72</v>
      </c>
      <c r="E188" s="0" t="n">
        <v>2961</v>
      </c>
    </row>
    <row r="189" customFormat="false" ht="15" hidden="false" customHeight="false" outlineLevel="0" collapsed="false">
      <c r="A189" s="0" t="n">
        <v>2023</v>
      </c>
      <c r="B189" s="0" t="s">
        <v>130</v>
      </c>
      <c r="C189" s="0" t="s">
        <v>131</v>
      </c>
      <c r="D189" s="0" t="s">
        <v>72</v>
      </c>
      <c r="E189" s="0" t="n">
        <v>3019</v>
      </c>
    </row>
    <row r="190" customFormat="false" ht="15" hidden="false" customHeight="false" outlineLevel="0" collapsed="false">
      <c r="A190" s="0" t="n">
        <v>2024</v>
      </c>
      <c r="B190" s="0" t="s">
        <v>130</v>
      </c>
      <c r="C190" s="0" t="s">
        <v>131</v>
      </c>
      <c r="D190" s="0" t="s">
        <v>72</v>
      </c>
      <c r="E190" s="0" t="n">
        <v>3134</v>
      </c>
    </row>
    <row r="191" customFormat="false" ht="15" hidden="false" customHeight="false" outlineLevel="0" collapsed="false">
      <c r="A191" s="0" t="n">
        <v>2025</v>
      </c>
      <c r="B191" s="0" t="s">
        <v>130</v>
      </c>
      <c r="C191" s="0" t="s">
        <v>131</v>
      </c>
      <c r="D191" s="0" t="s">
        <v>72</v>
      </c>
      <c r="E191" s="0" t="n">
        <v>3249</v>
      </c>
    </row>
    <row r="192" customFormat="false" ht="15" hidden="false" customHeight="false" outlineLevel="0" collapsed="false">
      <c r="A192" s="0" t="n">
        <v>2016</v>
      </c>
      <c r="B192" s="0" t="s">
        <v>137</v>
      </c>
      <c r="C192" s="0" t="s">
        <v>138</v>
      </c>
      <c r="D192" s="0" t="s">
        <v>75</v>
      </c>
      <c r="E192" s="0" t="n">
        <v>1294</v>
      </c>
    </row>
    <row r="193" customFormat="false" ht="15" hidden="false" customHeight="false" outlineLevel="0" collapsed="false">
      <c r="A193" s="0" t="n">
        <v>2017</v>
      </c>
      <c r="B193" s="0" t="s">
        <v>137</v>
      </c>
      <c r="C193" s="0" t="s">
        <v>138</v>
      </c>
      <c r="D193" s="0" t="s">
        <v>75</v>
      </c>
      <c r="E193" s="0" t="n">
        <v>1282</v>
      </c>
    </row>
    <row r="194" customFormat="false" ht="15" hidden="false" customHeight="false" outlineLevel="0" collapsed="false">
      <c r="A194" s="0" t="n">
        <v>2018</v>
      </c>
      <c r="B194" s="0" t="s">
        <v>137</v>
      </c>
      <c r="C194" s="0" t="s">
        <v>138</v>
      </c>
      <c r="D194" s="0" t="s">
        <v>75</v>
      </c>
      <c r="E194" s="0" t="n">
        <v>1267</v>
      </c>
    </row>
    <row r="195" customFormat="false" ht="15" hidden="false" customHeight="false" outlineLevel="0" collapsed="false">
      <c r="A195" s="0" t="n">
        <v>2019</v>
      </c>
      <c r="B195" s="0" t="s">
        <v>137</v>
      </c>
      <c r="C195" s="0" t="s">
        <v>138</v>
      </c>
      <c r="D195" s="0" t="s">
        <v>75</v>
      </c>
      <c r="E195" s="0" t="n">
        <v>1257</v>
      </c>
    </row>
    <row r="196" customFormat="false" ht="15" hidden="false" customHeight="false" outlineLevel="0" collapsed="false">
      <c r="A196" s="0" t="n">
        <v>2020</v>
      </c>
      <c r="B196" s="0" t="s">
        <v>137</v>
      </c>
      <c r="C196" s="0" t="s">
        <v>138</v>
      </c>
      <c r="D196" s="0" t="s">
        <v>75</v>
      </c>
      <c r="E196" s="0" t="n">
        <v>1244</v>
      </c>
    </row>
    <row r="197" customFormat="false" ht="15" hidden="false" customHeight="false" outlineLevel="0" collapsed="false">
      <c r="A197" s="0" t="n">
        <v>2021</v>
      </c>
      <c r="B197" s="0" t="s">
        <v>137</v>
      </c>
      <c r="C197" s="0" t="s">
        <v>138</v>
      </c>
      <c r="D197" s="0" t="s">
        <v>75</v>
      </c>
      <c r="E197" s="0" t="n">
        <v>1245</v>
      </c>
    </row>
    <row r="198" customFormat="false" ht="15" hidden="false" customHeight="false" outlineLevel="0" collapsed="false">
      <c r="A198" s="0" t="n">
        <v>2022</v>
      </c>
      <c r="B198" s="0" t="s">
        <v>137</v>
      </c>
      <c r="C198" s="0" t="s">
        <v>138</v>
      </c>
      <c r="D198" s="0" t="s">
        <v>75</v>
      </c>
      <c r="E198" s="0" t="n">
        <v>1251</v>
      </c>
    </row>
    <row r="199" customFormat="false" ht="15" hidden="false" customHeight="false" outlineLevel="0" collapsed="false">
      <c r="A199" s="0" t="n">
        <v>2023</v>
      </c>
      <c r="B199" s="0" t="s">
        <v>137</v>
      </c>
      <c r="C199" s="0" t="s">
        <v>138</v>
      </c>
      <c r="D199" s="0" t="s">
        <v>75</v>
      </c>
      <c r="E199" s="0" t="n">
        <v>1269</v>
      </c>
    </row>
    <row r="200" customFormat="false" ht="15" hidden="false" customHeight="false" outlineLevel="0" collapsed="false">
      <c r="A200" s="0" t="n">
        <v>2024</v>
      </c>
      <c r="B200" s="0" t="s">
        <v>137</v>
      </c>
      <c r="C200" s="0" t="s">
        <v>138</v>
      </c>
      <c r="D200" s="0" t="s">
        <v>75</v>
      </c>
      <c r="E200" s="0" t="n">
        <v>1301</v>
      </c>
    </row>
    <row r="201" customFormat="false" ht="15" hidden="false" customHeight="false" outlineLevel="0" collapsed="false">
      <c r="A201" s="0" t="n">
        <v>2025</v>
      </c>
      <c r="B201" s="0" t="s">
        <v>137</v>
      </c>
      <c r="C201" s="0" t="s">
        <v>138</v>
      </c>
      <c r="D201" s="0" t="s">
        <v>75</v>
      </c>
      <c r="E201" s="0" t="n">
        <v>1336</v>
      </c>
    </row>
    <row r="202" customFormat="false" ht="15" hidden="false" customHeight="false" outlineLevel="0" collapsed="false">
      <c r="A202" s="0" t="n">
        <v>2016</v>
      </c>
      <c r="B202" s="0" t="s">
        <v>142</v>
      </c>
      <c r="C202" s="0" t="s">
        <v>143</v>
      </c>
      <c r="D202" s="0" t="s">
        <v>74</v>
      </c>
      <c r="E202" s="0" t="n">
        <v>724</v>
      </c>
    </row>
    <row r="203" customFormat="false" ht="15" hidden="false" customHeight="false" outlineLevel="0" collapsed="false">
      <c r="A203" s="0" t="n">
        <v>2017</v>
      </c>
      <c r="B203" s="0" t="s">
        <v>142</v>
      </c>
      <c r="C203" s="0" t="s">
        <v>143</v>
      </c>
      <c r="D203" s="0" t="s">
        <v>74</v>
      </c>
      <c r="E203" s="0" t="n">
        <v>722</v>
      </c>
    </row>
    <row r="204" customFormat="false" ht="15" hidden="false" customHeight="false" outlineLevel="0" collapsed="false">
      <c r="A204" s="0" t="n">
        <v>2018</v>
      </c>
      <c r="B204" s="0" t="s">
        <v>142</v>
      </c>
      <c r="C204" s="0" t="s">
        <v>143</v>
      </c>
      <c r="D204" s="0" t="s">
        <v>74</v>
      </c>
      <c r="E204" s="0" t="n">
        <v>719</v>
      </c>
    </row>
    <row r="205" customFormat="false" ht="15" hidden="false" customHeight="false" outlineLevel="0" collapsed="false">
      <c r="A205" s="0" t="n">
        <v>2019</v>
      </c>
      <c r="B205" s="0" t="s">
        <v>142</v>
      </c>
      <c r="C205" s="0" t="s">
        <v>143</v>
      </c>
      <c r="D205" s="0" t="s">
        <v>74</v>
      </c>
      <c r="E205" s="0" t="n">
        <v>716</v>
      </c>
    </row>
    <row r="206" customFormat="false" ht="15" hidden="false" customHeight="false" outlineLevel="0" collapsed="false">
      <c r="A206" s="0" t="n">
        <v>2020</v>
      </c>
      <c r="B206" s="0" t="s">
        <v>142</v>
      </c>
      <c r="C206" s="0" t="s">
        <v>143</v>
      </c>
      <c r="D206" s="0" t="s">
        <v>74</v>
      </c>
      <c r="E206" s="0" t="n">
        <v>708</v>
      </c>
    </row>
    <row r="207" customFormat="false" ht="15" hidden="false" customHeight="false" outlineLevel="0" collapsed="false">
      <c r="A207" s="0" t="n">
        <v>2021</v>
      </c>
      <c r="B207" s="0" t="s">
        <v>142</v>
      </c>
      <c r="C207" s="0" t="s">
        <v>143</v>
      </c>
      <c r="D207" s="0" t="s">
        <v>74</v>
      </c>
      <c r="E207" s="0" t="n">
        <v>707</v>
      </c>
    </row>
    <row r="208" customFormat="false" ht="15" hidden="false" customHeight="false" outlineLevel="0" collapsed="false">
      <c r="A208" s="0" t="n">
        <v>2022</v>
      </c>
      <c r="B208" s="0" t="s">
        <v>142</v>
      </c>
      <c r="C208" s="0" t="s">
        <v>143</v>
      </c>
      <c r="D208" s="0" t="s">
        <v>74</v>
      </c>
      <c r="E208" s="0" t="n">
        <v>702</v>
      </c>
    </row>
    <row r="209" customFormat="false" ht="15" hidden="false" customHeight="false" outlineLevel="0" collapsed="false">
      <c r="A209" s="0" t="n">
        <v>2023</v>
      </c>
      <c r="B209" s="0" t="s">
        <v>142</v>
      </c>
      <c r="C209" s="0" t="s">
        <v>143</v>
      </c>
      <c r="D209" s="0" t="s">
        <v>74</v>
      </c>
      <c r="E209" s="0" t="n">
        <v>697</v>
      </c>
    </row>
    <row r="210" customFormat="false" ht="15" hidden="false" customHeight="false" outlineLevel="0" collapsed="false">
      <c r="A210" s="0" t="n">
        <v>2024</v>
      </c>
      <c r="B210" s="0" t="s">
        <v>142</v>
      </c>
      <c r="C210" s="0" t="s">
        <v>143</v>
      </c>
      <c r="D210" s="0" t="s">
        <v>74</v>
      </c>
      <c r="E210" s="0" t="n">
        <v>698</v>
      </c>
    </row>
    <row r="211" customFormat="false" ht="15" hidden="false" customHeight="false" outlineLevel="0" collapsed="false">
      <c r="A211" s="0" t="n">
        <v>2025</v>
      </c>
      <c r="B211" s="0" t="s">
        <v>142</v>
      </c>
      <c r="C211" s="0" t="s">
        <v>143</v>
      </c>
      <c r="D211" s="0" t="s">
        <v>74</v>
      </c>
      <c r="E211" s="0" t="n">
        <v>699</v>
      </c>
    </row>
    <row r="212" customFormat="false" ht="15" hidden="false" customHeight="false" outlineLevel="0" collapsed="false">
      <c r="A212" s="0" t="n">
        <v>2016</v>
      </c>
      <c r="B212" s="0" t="s">
        <v>145</v>
      </c>
      <c r="C212" s="0" t="s">
        <v>146</v>
      </c>
      <c r="D212" s="0" t="s">
        <v>74</v>
      </c>
      <c r="E212" s="0" t="n">
        <v>791</v>
      </c>
    </row>
    <row r="213" customFormat="false" ht="15" hidden="false" customHeight="false" outlineLevel="0" collapsed="false">
      <c r="A213" s="0" t="n">
        <v>2017</v>
      </c>
      <c r="B213" s="0" t="s">
        <v>145</v>
      </c>
      <c r="C213" s="0" t="s">
        <v>146</v>
      </c>
      <c r="D213" s="0" t="s">
        <v>74</v>
      </c>
      <c r="E213" s="0" t="n">
        <v>797</v>
      </c>
    </row>
    <row r="214" customFormat="false" ht="15" hidden="false" customHeight="false" outlineLevel="0" collapsed="false">
      <c r="A214" s="0" t="n">
        <v>2018</v>
      </c>
      <c r="B214" s="0" t="s">
        <v>145</v>
      </c>
      <c r="C214" s="0" t="s">
        <v>146</v>
      </c>
      <c r="D214" s="0" t="s">
        <v>74</v>
      </c>
      <c r="E214" s="0" t="n">
        <v>795</v>
      </c>
    </row>
    <row r="215" customFormat="false" ht="15" hidden="false" customHeight="false" outlineLevel="0" collapsed="false">
      <c r="A215" s="0" t="n">
        <v>2019</v>
      </c>
      <c r="B215" s="0" t="s">
        <v>145</v>
      </c>
      <c r="C215" s="0" t="s">
        <v>146</v>
      </c>
      <c r="D215" s="0" t="s">
        <v>74</v>
      </c>
      <c r="E215" s="0" t="n">
        <v>793</v>
      </c>
    </row>
    <row r="216" customFormat="false" ht="15" hidden="false" customHeight="false" outlineLevel="0" collapsed="false">
      <c r="A216" s="0" t="n">
        <v>2020</v>
      </c>
      <c r="B216" s="0" t="s">
        <v>145</v>
      </c>
      <c r="C216" s="0" t="s">
        <v>146</v>
      </c>
      <c r="D216" s="0" t="s">
        <v>74</v>
      </c>
      <c r="E216" s="0" t="n">
        <v>793</v>
      </c>
    </row>
    <row r="217" customFormat="false" ht="15" hidden="false" customHeight="false" outlineLevel="0" collapsed="false">
      <c r="A217" s="0" t="n">
        <v>2021</v>
      </c>
      <c r="B217" s="0" t="s">
        <v>145</v>
      </c>
      <c r="C217" s="0" t="s">
        <v>146</v>
      </c>
      <c r="D217" s="0" t="s">
        <v>74</v>
      </c>
      <c r="E217" s="0" t="n">
        <v>793</v>
      </c>
    </row>
    <row r="218" customFormat="false" ht="15" hidden="false" customHeight="false" outlineLevel="0" collapsed="false">
      <c r="A218" s="0" t="n">
        <v>2022</v>
      </c>
      <c r="B218" s="0" t="s">
        <v>145</v>
      </c>
      <c r="C218" s="0" t="s">
        <v>146</v>
      </c>
      <c r="D218" s="0" t="s">
        <v>74</v>
      </c>
      <c r="E218" s="0" t="n">
        <v>794</v>
      </c>
    </row>
    <row r="219" customFormat="false" ht="15" hidden="false" customHeight="false" outlineLevel="0" collapsed="false">
      <c r="A219" s="0" t="n">
        <v>2023</v>
      </c>
      <c r="B219" s="0" t="s">
        <v>145</v>
      </c>
      <c r="C219" s="0" t="s">
        <v>146</v>
      </c>
      <c r="D219" s="0" t="s">
        <v>74</v>
      </c>
      <c r="E219" s="0" t="n">
        <v>798</v>
      </c>
    </row>
    <row r="220" customFormat="false" ht="15" hidden="false" customHeight="false" outlineLevel="0" collapsed="false">
      <c r="A220" s="0" t="n">
        <v>2024</v>
      </c>
      <c r="B220" s="0" t="s">
        <v>145</v>
      </c>
      <c r="C220" s="0" t="s">
        <v>146</v>
      </c>
      <c r="D220" s="0" t="s">
        <v>74</v>
      </c>
      <c r="E220" s="0" t="n">
        <v>803</v>
      </c>
    </row>
    <row r="221" customFormat="false" ht="15" hidden="false" customHeight="false" outlineLevel="0" collapsed="false">
      <c r="A221" s="0" t="n">
        <v>2025</v>
      </c>
      <c r="B221" s="0" t="s">
        <v>145</v>
      </c>
      <c r="C221" s="0" t="s">
        <v>146</v>
      </c>
      <c r="D221" s="0" t="s">
        <v>74</v>
      </c>
      <c r="E221" s="0" t="n">
        <v>809</v>
      </c>
    </row>
    <row r="222" customFormat="false" ht="15" hidden="false" customHeight="false" outlineLevel="0" collapsed="false">
      <c r="A222" s="0" t="n">
        <v>2016</v>
      </c>
      <c r="B222" s="0" t="s">
        <v>152</v>
      </c>
      <c r="C222" s="0" t="s">
        <v>153</v>
      </c>
      <c r="D222" s="0" t="s">
        <v>74</v>
      </c>
      <c r="E222" s="0" t="n">
        <v>725</v>
      </c>
    </row>
    <row r="223" customFormat="false" ht="15" hidden="false" customHeight="false" outlineLevel="0" collapsed="false">
      <c r="A223" s="0" t="n">
        <v>2017</v>
      </c>
      <c r="B223" s="0" t="s">
        <v>152</v>
      </c>
      <c r="C223" s="0" t="s">
        <v>153</v>
      </c>
      <c r="D223" s="0" t="s">
        <v>74</v>
      </c>
      <c r="E223" s="0" t="n">
        <v>916</v>
      </c>
    </row>
    <row r="224" customFormat="false" ht="15" hidden="false" customHeight="false" outlineLevel="0" collapsed="false">
      <c r="A224" s="0" t="n">
        <v>2018</v>
      </c>
      <c r="B224" s="0" t="s">
        <v>152</v>
      </c>
      <c r="C224" s="0" t="s">
        <v>153</v>
      </c>
      <c r="D224" s="0" t="s">
        <v>74</v>
      </c>
      <c r="E224" s="0" t="n">
        <v>902</v>
      </c>
    </row>
    <row r="225" customFormat="false" ht="15" hidden="false" customHeight="false" outlineLevel="0" collapsed="false">
      <c r="A225" s="0" t="n">
        <v>2019</v>
      </c>
      <c r="B225" s="0" t="s">
        <v>152</v>
      </c>
      <c r="C225" s="0" t="s">
        <v>153</v>
      </c>
      <c r="D225" s="0" t="s">
        <v>74</v>
      </c>
      <c r="E225" s="0" t="n">
        <v>893</v>
      </c>
    </row>
    <row r="226" customFormat="false" ht="15" hidden="false" customHeight="false" outlineLevel="0" collapsed="false">
      <c r="A226" s="0" t="n">
        <v>2020</v>
      </c>
      <c r="B226" s="0" t="s">
        <v>152</v>
      </c>
      <c r="C226" s="0" t="s">
        <v>153</v>
      </c>
      <c r="D226" s="0" t="s">
        <v>74</v>
      </c>
      <c r="E226" s="0" t="n">
        <v>867</v>
      </c>
    </row>
    <row r="227" customFormat="false" ht="15" hidden="false" customHeight="false" outlineLevel="0" collapsed="false">
      <c r="A227" s="0" t="n">
        <v>2021</v>
      </c>
      <c r="B227" s="0" t="s">
        <v>152</v>
      </c>
      <c r="C227" s="0" t="s">
        <v>153</v>
      </c>
      <c r="D227" s="0" t="s">
        <v>74</v>
      </c>
      <c r="E227" s="0" t="n">
        <v>855</v>
      </c>
    </row>
    <row r="228" customFormat="false" ht="15" hidden="false" customHeight="false" outlineLevel="0" collapsed="false">
      <c r="A228" s="0" t="n">
        <v>2022</v>
      </c>
      <c r="B228" s="0" t="s">
        <v>152</v>
      </c>
      <c r="C228" s="0" t="s">
        <v>153</v>
      </c>
      <c r="D228" s="0" t="s">
        <v>74</v>
      </c>
      <c r="E228" s="0" t="n">
        <v>851</v>
      </c>
    </row>
    <row r="229" customFormat="false" ht="15" hidden="false" customHeight="false" outlineLevel="0" collapsed="false">
      <c r="A229" s="0" t="n">
        <v>2023</v>
      </c>
      <c r="B229" s="0" t="s">
        <v>152</v>
      </c>
      <c r="C229" s="0" t="s">
        <v>153</v>
      </c>
      <c r="D229" s="0" t="s">
        <v>74</v>
      </c>
      <c r="E229" s="0" t="n">
        <v>854</v>
      </c>
    </row>
    <row r="230" customFormat="false" ht="15" hidden="false" customHeight="false" outlineLevel="0" collapsed="false">
      <c r="A230" s="0" t="n">
        <v>2024</v>
      </c>
      <c r="B230" s="0" t="s">
        <v>152</v>
      </c>
      <c r="C230" s="0" t="s">
        <v>153</v>
      </c>
      <c r="D230" s="0" t="s">
        <v>74</v>
      </c>
      <c r="E230" s="0" t="n">
        <v>859</v>
      </c>
    </row>
    <row r="231" customFormat="false" ht="15" hidden="false" customHeight="false" outlineLevel="0" collapsed="false">
      <c r="A231" s="0" t="n">
        <v>2025</v>
      </c>
      <c r="B231" s="0" t="s">
        <v>152</v>
      </c>
      <c r="C231" s="0" t="s">
        <v>153</v>
      </c>
      <c r="D231" s="0" t="s">
        <v>74</v>
      </c>
      <c r="E231" s="0" t="n">
        <v>870</v>
      </c>
    </row>
    <row r="232" customFormat="false" ht="15" hidden="false" customHeight="false" outlineLevel="0" collapsed="false">
      <c r="A232" s="0" t="n">
        <v>2016</v>
      </c>
      <c r="B232" s="0" t="s">
        <v>140</v>
      </c>
      <c r="C232" s="0" t="s">
        <v>141</v>
      </c>
      <c r="D232" s="0" t="s">
        <v>75</v>
      </c>
      <c r="E232" s="0" t="n">
        <v>600</v>
      </c>
    </row>
    <row r="233" customFormat="false" ht="15" hidden="false" customHeight="false" outlineLevel="0" collapsed="false">
      <c r="A233" s="0" t="n">
        <v>2017</v>
      </c>
      <c r="B233" s="0" t="s">
        <v>140</v>
      </c>
      <c r="C233" s="0" t="s">
        <v>141</v>
      </c>
      <c r="D233" s="0" t="s">
        <v>75</v>
      </c>
      <c r="E233" s="0" t="n">
        <v>560</v>
      </c>
    </row>
    <row r="234" customFormat="false" ht="15" hidden="false" customHeight="false" outlineLevel="0" collapsed="false">
      <c r="A234" s="0" t="n">
        <v>2018</v>
      </c>
      <c r="B234" s="0" t="s">
        <v>140</v>
      </c>
      <c r="C234" s="0" t="s">
        <v>141</v>
      </c>
      <c r="D234" s="0" t="s">
        <v>75</v>
      </c>
      <c r="E234" s="0" t="n">
        <v>545</v>
      </c>
    </row>
    <row r="235" customFormat="false" ht="15" hidden="false" customHeight="false" outlineLevel="0" collapsed="false">
      <c r="A235" s="0" t="n">
        <v>2019</v>
      </c>
      <c r="B235" s="0" t="s">
        <v>140</v>
      </c>
      <c r="C235" s="0" t="s">
        <v>141</v>
      </c>
      <c r="D235" s="0" t="s">
        <v>75</v>
      </c>
      <c r="E235" s="0" t="n">
        <v>535</v>
      </c>
    </row>
    <row r="236" customFormat="false" ht="15" hidden="false" customHeight="false" outlineLevel="0" collapsed="false">
      <c r="A236" s="0" t="n">
        <v>2020</v>
      </c>
      <c r="B236" s="0" t="s">
        <v>140</v>
      </c>
      <c r="C236" s="0" t="s">
        <v>141</v>
      </c>
      <c r="D236" s="0" t="s">
        <v>75</v>
      </c>
      <c r="E236" s="0" t="n">
        <v>537</v>
      </c>
    </row>
    <row r="237" customFormat="false" ht="15" hidden="false" customHeight="false" outlineLevel="0" collapsed="false">
      <c r="A237" s="0" t="n">
        <v>2021</v>
      </c>
      <c r="B237" s="0" t="s">
        <v>140</v>
      </c>
      <c r="C237" s="0" t="s">
        <v>141</v>
      </c>
      <c r="D237" s="0" t="s">
        <v>75</v>
      </c>
      <c r="E237" s="0" t="n">
        <v>543</v>
      </c>
    </row>
    <row r="238" customFormat="false" ht="15" hidden="false" customHeight="false" outlineLevel="0" collapsed="false">
      <c r="A238" s="0" t="n">
        <v>2022</v>
      </c>
      <c r="B238" s="0" t="s">
        <v>140</v>
      </c>
      <c r="C238" s="0" t="s">
        <v>141</v>
      </c>
      <c r="D238" s="0" t="s">
        <v>75</v>
      </c>
      <c r="E238" s="0" t="n">
        <v>535</v>
      </c>
    </row>
    <row r="239" customFormat="false" ht="15" hidden="false" customHeight="false" outlineLevel="0" collapsed="false">
      <c r="A239" s="0" t="n">
        <v>2023</v>
      </c>
      <c r="B239" s="0" t="s">
        <v>140</v>
      </c>
      <c r="C239" s="0" t="s">
        <v>141</v>
      </c>
      <c r="D239" s="0" t="s">
        <v>75</v>
      </c>
      <c r="E239" s="0" t="n">
        <v>527</v>
      </c>
    </row>
    <row r="240" customFormat="false" ht="15" hidden="false" customHeight="false" outlineLevel="0" collapsed="false">
      <c r="A240" s="0" t="n">
        <v>2024</v>
      </c>
      <c r="B240" s="0" t="s">
        <v>140</v>
      </c>
      <c r="C240" s="0" t="s">
        <v>141</v>
      </c>
      <c r="D240" s="0" t="s">
        <v>75</v>
      </c>
      <c r="E240" s="0" t="n">
        <v>520</v>
      </c>
    </row>
    <row r="241" customFormat="false" ht="15" hidden="false" customHeight="false" outlineLevel="0" collapsed="false">
      <c r="A241" s="0" t="n">
        <v>2025</v>
      </c>
      <c r="B241" s="0" t="s">
        <v>140</v>
      </c>
      <c r="C241" s="0" t="s">
        <v>141</v>
      </c>
      <c r="D241" s="0" t="s">
        <v>75</v>
      </c>
      <c r="E241" s="0" t="n">
        <v>518</v>
      </c>
    </row>
    <row r="242" customFormat="false" ht="15" hidden="false" customHeight="false" outlineLevel="0" collapsed="false">
      <c r="A242" s="0" t="n">
        <v>2016</v>
      </c>
      <c r="B242" s="0" t="s">
        <v>163</v>
      </c>
      <c r="C242" s="0" t="s">
        <v>164</v>
      </c>
      <c r="D242" s="0" t="s">
        <v>72</v>
      </c>
      <c r="E242" s="0" t="n">
        <v>1096</v>
      </c>
    </row>
    <row r="243" customFormat="false" ht="15" hidden="false" customHeight="false" outlineLevel="0" collapsed="false">
      <c r="A243" s="0" t="n">
        <v>2017</v>
      </c>
      <c r="B243" s="0" t="s">
        <v>163</v>
      </c>
      <c r="C243" s="0" t="s">
        <v>164</v>
      </c>
      <c r="D243" s="0" t="s">
        <v>72</v>
      </c>
      <c r="E243" s="0" t="n">
        <v>1093</v>
      </c>
    </row>
    <row r="244" customFormat="false" ht="15" hidden="false" customHeight="false" outlineLevel="0" collapsed="false">
      <c r="A244" s="0" t="n">
        <v>2018</v>
      </c>
      <c r="B244" s="0" t="s">
        <v>163</v>
      </c>
      <c r="C244" s="0" t="s">
        <v>164</v>
      </c>
      <c r="D244" s="0" t="s">
        <v>72</v>
      </c>
      <c r="E244" s="0" t="n">
        <v>1090</v>
      </c>
    </row>
    <row r="245" customFormat="false" ht="15" hidden="false" customHeight="false" outlineLevel="0" collapsed="false">
      <c r="A245" s="0" t="n">
        <v>2019</v>
      </c>
      <c r="B245" s="0" t="s">
        <v>163</v>
      </c>
      <c r="C245" s="0" t="s">
        <v>164</v>
      </c>
      <c r="D245" s="0" t="s">
        <v>72</v>
      </c>
      <c r="E245" s="0" t="n">
        <v>1062</v>
      </c>
    </row>
    <row r="246" customFormat="false" ht="15" hidden="false" customHeight="false" outlineLevel="0" collapsed="false">
      <c r="A246" s="0" t="n">
        <v>2020</v>
      </c>
      <c r="B246" s="0" t="s">
        <v>163</v>
      </c>
      <c r="C246" s="0" t="s">
        <v>164</v>
      </c>
      <c r="D246" s="0" t="s">
        <v>72</v>
      </c>
      <c r="E246" s="0" t="n">
        <v>1076</v>
      </c>
    </row>
    <row r="247" customFormat="false" ht="15" hidden="false" customHeight="false" outlineLevel="0" collapsed="false">
      <c r="A247" s="0" t="n">
        <v>2021</v>
      </c>
      <c r="B247" s="0" t="s">
        <v>163</v>
      </c>
      <c r="C247" s="0" t="s">
        <v>164</v>
      </c>
      <c r="D247" s="0" t="s">
        <v>72</v>
      </c>
      <c r="E247" s="0" t="n">
        <v>1030</v>
      </c>
    </row>
    <row r="248" customFormat="false" ht="15" hidden="false" customHeight="false" outlineLevel="0" collapsed="false">
      <c r="A248" s="0" t="n">
        <v>2022</v>
      </c>
      <c r="B248" s="0" t="s">
        <v>163</v>
      </c>
      <c r="C248" s="0" t="s">
        <v>164</v>
      </c>
      <c r="D248" s="0" t="s">
        <v>72</v>
      </c>
      <c r="E248" s="0" t="n">
        <v>1018</v>
      </c>
    </row>
    <row r="249" customFormat="false" ht="15" hidden="false" customHeight="false" outlineLevel="0" collapsed="false">
      <c r="A249" s="0" t="n">
        <v>2023</v>
      </c>
      <c r="B249" s="0" t="s">
        <v>163</v>
      </c>
      <c r="C249" s="0" t="s">
        <v>164</v>
      </c>
      <c r="D249" s="0" t="s">
        <v>72</v>
      </c>
      <c r="E249" s="0" t="n">
        <v>1019</v>
      </c>
    </row>
    <row r="250" customFormat="false" ht="15" hidden="false" customHeight="false" outlineLevel="0" collapsed="false">
      <c r="A250" s="0" t="n">
        <v>2024</v>
      </c>
      <c r="B250" s="0" t="s">
        <v>163</v>
      </c>
      <c r="C250" s="0" t="s">
        <v>164</v>
      </c>
      <c r="D250" s="0" t="s">
        <v>72</v>
      </c>
      <c r="E250" s="0" t="n">
        <v>1015</v>
      </c>
    </row>
    <row r="251" customFormat="false" ht="15" hidden="false" customHeight="false" outlineLevel="0" collapsed="false">
      <c r="A251" s="0" t="n">
        <v>2025</v>
      </c>
      <c r="B251" s="0" t="s">
        <v>163</v>
      </c>
      <c r="C251" s="0" t="s">
        <v>164</v>
      </c>
      <c r="D251" s="0" t="s">
        <v>72</v>
      </c>
      <c r="E251" s="0" t="n">
        <v>994</v>
      </c>
    </row>
    <row r="252" customFormat="false" ht="15" hidden="false" customHeight="false" outlineLevel="0" collapsed="false">
      <c r="A252" s="0" t="n">
        <v>2016</v>
      </c>
      <c r="B252" s="0" t="s">
        <v>155</v>
      </c>
      <c r="C252" s="0" t="s">
        <v>156</v>
      </c>
      <c r="D252" s="0" t="s">
        <v>72</v>
      </c>
      <c r="E252" s="0" t="n">
        <v>1522</v>
      </c>
    </row>
    <row r="253" customFormat="false" ht="15" hidden="false" customHeight="false" outlineLevel="0" collapsed="false">
      <c r="A253" s="0" t="n">
        <v>2017</v>
      </c>
      <c r="B253" s="0" t="s">
        <v>155</v>
      </c>
      <c r="C253" s="0" t="s">
        <v>156</v>
      </c>
      <c r="D253" s="0" t="s">
        <v>72</v>
      </c>
      <c r="E253" s="0" t="n">
        <v>1540</v>
      </c>
    </row>
    <row r="254" customFormat="false" ht="15" hidden="false" customHeight="false" outlineLevel="0" collapsed="false">
      <c r="A254" s="0" t="n">
        <v>2018</v>
      </c>
      <c r="B254" s="0" t="s">
        <v>155</v>
      </c>
      <c r="C254" s="0" t="s">
        <v>156</v>
      </c>
      <c r="D254" s="0" t="s">
        <v>72</v>
      </c>
      <c r="E254" s="0" t="n">
        <v>1549</v>
      </c>
    </row>
    <row r="255" customFormat="false" ht="15" hidden="false" customHeight="false" outlineLevel="0" collapsed="false">
      <c r="A255" s="0" t="n">
        <v>2019</v>
      </c>
      <c r="B255" s="0" t="s">
        <v>155</v>
      </c>
      <c r="C255" s="0" t="s">
        <v>156</v>
      </c>
      <c r="D255" s="0" t="s">
        <v>72</v>
      </c>
      <c r="E255" s="0" t="n">
        <v>1550</v>
      </c>
    </row>
    <row r="256" customFormat="false" ht="15" hidden="false" customHeight="false" outlineLevel="0" collapsed="false">
      <c r="A256" s="0" t="n">
        <v>2020</v>
      </c>
      <c r="B256" s="0" t="s">
        <v>155</v>
      </c>
      <c r="C256" s="0" t="s">
        <v>156</v>
      </c>
      <c r="D256" s="0" t="s">
        <v>72</v>
      </c>
      <c r="E256" s="0" t="n">
        <v>1548</v>
      </c>
    </row>
    <row r="257" customFormat="false" ht="15" hidden="false" customHeight="false" outlineLevel="0" collapsed="false">
      <c r="A257" s="0" t="n">
        <v>2021</v>
      </c>
      <c r="B257" s="0" t="s">
        <v>155</v>
      </c>
      <c r="C257" s="0" t="s">
        <v>156</v>
      </c>
      <c r="D257" s="0" t="s">
        <v>72</v>
      </c>
      <c r="E257" s="0" t="n">
        <v>1549</v>
      </c>
    </row>
    <row r="258" customFormat="false" ht="15" hidden="false" customHeight="false" outlineLevel="0" collapsed="false">
      <c r="A258" s="0" t="n">
        <v>2022</v>
      </c>
      <c r="B258" s="0" t="s">
        <v>155</v>
      </c>
      <c r="C258" s="0" t="s">
        <v>156</v>
      </c>
      <c r="D258" s="0" t="s">
        <v>72</v>
      </c>
      <c r="E258" s="0" t="n">
        <v>1554</v>
      </c>
    </row>
    <row r="259" customFormat="false" ht="15" hidden="false" customHeight="false" outlineLevel="0" collapsed="false">
      <c r="A259" s="0" t="n">
        <v>2023</v>
      </c>
      <c r="B259" s="0" t="s">
        <v>155</v>
      </c>
      <c r="C259" s="0" t="s">
        <v>156</v>
      </c>
      <c r="D259" s="0" t="s">
        <v>72</v>
      </c>
      <c r="E259" s="0" t="n">
        <v>1568</v>
      </c>
    </row>
    <row r="260" customFormat="false" ht="15" hidden="false" customHeight="false" outlineLevel="0" collapsed="false">
      <c r="A260" s="0" t="n">
        <v>2024</v>
      </c>
      <c r="B260" s="0" t="s">
        <v>155</v>
      </c>
      <c r="C260" s="0" t="s">
        <v>156</v>
      </c>
      <c r="D260" s="0" t="s">
        <v>72</v>
      </c>
      <c r="E260" s="0" t="n">
        <v>1569</v>
      </c>
    </row>
    <row r="261" customFormat="false" ht="15" hidden="false" customHeight="false" outlineLevel="0" collapsed="false">
      <c r="A261" s="0" t="n">
        <v>2025</v>
      </c>
      <c r="B261" s="0" t="s">
        <v>155</v>
      </c>
      <c r="C261" s="0" t="s">
        <v>156</v>
      </c>
      <c r="D261" s="0" t="s">
        <v>72</v>
      </c>
      <c r="E261" s="0" t="n">
        <v>1598</v>
      </c>
    </row>
    <row r="262" customFormat="false" ht="15" hidden="false" customHeight="false" outlineLevel="0" collapsed="false">
      <c r="A262" s="0" t="n">
        <v>2016</v>
      </c>
      <c r="B262" s="0" t="s">
        <v>159</v>
      </c>
      <c r="C262" s="0" t="s">
        <v>160</v>
      </c>
      <c r="D262" s="0" t="s">
        <v>72</v>
      </c>
      <c r="E262" s="0" t="n">
        <v>982</v>
      </c>
    </row>
    <row r="263" customFormat="false" ht="15" hidden="false" customHeight="false" outlineLevel="0" collapsed="false">
      <c r="A263" s="0" t="n">
        <v>2017</v>
      </c>
      <c r="B263" s="0" t="s">
        <v>159</v>
      </c>
      <c r="C263" s="0" t="s">
        <v>160</v>
      </c>
      <c r="D263" s="0" t="s">
        <v>72</v>
      </c>
      <c r="E263" s="0" t="n">
        <v>962</v>
      </c>
    </row>
    <row r="264" customFormat="false" ht="15" hidden="false" customHeight="false" outlineLevel="0" collapsed="false">
      <c r="A264" s="0" t="n">
        <v>2018</v>
      </c>
      <c r="B264" s="0" t="s">
        <v>159</v>
      </c>
      <c r="C264" s="0" t="s">
        <v>160</v>
      </c>
      <c r="D264" s="0" t="s">
        <v>72</v>
      </c>
      <c r="E264" s="0" t="n">
        <v>962</v>
      </c>
    </row>
    <row r="265" customFormat="false" ht="15" hidden="false" customHeight="false" outlineLevel="0" collapsed="false">
      <c r="A265" s="0" t="n">
        <v>2019</v>
      </c>
      <c r="B265" s="0" t="s">
        <v>159</v>
      </c>
      <c r="C265" s="0" t="s">
        <v>160</v>
      </c>
      <c r="D265" s="0" t="s">
        <v>72</v>
      </c>
      <c r="E265" s="0" t="n">
        <v>948</v>
      </c>
    </row>
    <row r="266" customFormat="false" ht="15" hidden="false" customHeight="false" outlineLevel="0" collapsed="false">
      <c r="A266" s="0" t="n">
        <v>2020</v>
      </c>
      <c r="B266" s="0" t="s">
        <v>159</v>
      </c>
      <c r="C266" s="0" t="s">
        <v>160</v>
      </c>
      <c r="D266" s="0" t="s">
        <v>72</v>
      </c>
      <c r="E266" s="0" t="n">
        <v>924</v>
      </c>
    </row>
    <row r="267" customFormat="false" ht="15" hidden="false" customHeight="false" outlineLevel="0" collapsed="false">
      <c r="A267" s="0" t="n">
        <v>2021</v>
      </c>
      <c r="B267" s="0" t="s">
        <v>159</v>
      </c>
      <c r="C267" s="0" t="s">
        <v>160</v>
      </c>
      <c r="D267" s="0" t="s">
        <v>72</v>
      </c>
      <c r="E267" s="0" t="n">
        <v>901</v>
      </c>
    </row>
    <row r="268" customFormat="false" ht="15" hidden="false" customHeight="false" outlineLevel="0" collapsed="false">
      <c r="A268" s="0" t="n">
        <v>2022</v>
      </c>
      <c r="B268" s="0" t="s">
        <v>159</v>
      </c>
      <c r="C268" s="0" t="s">
        <v>160</v>
      </c>
      <c r="D268" s="0" t="s">
        <v>72</v>
      </c>
      <c r="E268" s="0" t="n">
        <v>890</v>
      </c>
    </row>
    <row r="269" customFormat="false" ht="15" hidden="false" customHeight="false" outlineLevel="0" collapsed="false">
      <c r="A269" s="0" t="n">
        <v>2023</v>
      </c>
      <c r="B269" s="0" t="s">
        <v>159</v>
      </c>
      <c r="C269" s="0" t="s">
        <v>160</v>
      </c>
      <c r="D269" s="0" t="s">
        <v>72</v>
      </c>
      <c r="E269" s="0" t="n">
        <v>900</v>
      </c>
    </row>
    <row r="270" customFormat="false" ht="15" hidden="false" customHeight="false" outlineLevel="0" collapsed="false">
      <c r="A270" s="0" t="n">
        <v>2024</v>
      </c>
      <c r="B270" s="0" t="s">
        <v>159</v>
      </c>
      <c r="C270" s="0" t="s">
        <v>160</v>
      </c>
      <c r="D270" s="0" t="s">
        <v>72</v>
      </c>
      <c r="E270" s="0" t="n">
        <v>927</v>
      </c>
    </row>
    <row r="271" customFormat="false" ht="15" hidden="false" customHeight="false" outlineLevel="0" collapsed="false">
      <c r="A271" s="0" t="n">
        <v>2025</v>
      </c>
      <c r="B271" s="0" t="s">
        <v>159</v>
      </c>
      <c r="C271" s="0" t="s">
        <v>160</v>
      </c>
      <c r="D271" s="0" t="s">
        <v>72</v>
      </c>
      <c r="E271" s="0" t="n">
        <v>957</v>
      </c>
    </row>
    <row r="272" customFormat="false" ht="15" hidden="false" customHeight="false" outlineLevel="0" collapsed="false">
      <c r="A272" s="0" t="n">
        <v>2016</v>
      </c>
      <c r="B272" s="0" t="s">
        <v>157</v>
      </c>
      <c r="C272" s="0" t="s">
        <v>158</v>
      </c>
      <c r="D272" s="0" t="s">
        <v>74</v>
      </c>
      <c r="E272" s="0" t="n">
        <v>708</v>
      </c>
    </row>
    <row r="273" customFormat="false" ht="15" hidden="false" customHeight="false" outlineLevel="0" collapsed="false">
      <c r="A273" s="0" t="n">
        <v>2017</v>
      </c>
      <c r="B273" s="0" t="s">
        <v>157</v>
      </c>
      <c r="C273" s="0" t="s">
        <v>158</v>
      </c>
      <c r="D273" s="0" t="s">
        <v>74</v>
      </c>
      <c r="E273" s="0" t="n">
        <v>727</v>
      </c>
    </row>
    <row r="274" customFormat="false" ht="15" hidden="false" customHeight="false" outlineLevel="0" collapsed="false">
      <c r="A274" s="0" t="n">
        <v>2018</v>
      </c>
      <c r="B274" s="0" t="s">
        <v>157</v>
      </c>
      <c r="C274" s="0" t="s">
        <v>158</v>
      </c>
      <c r="D274" s="0" t="s">
        <v>74</v>
      </c>
      <c r="E274" s="0" t="n">
        <v>729</v>
      </c>
    </row>
    <row r="275" customFormat="false" ht="15" hidden="false" customHeight="false" outlineLevel="0" collapsed="false">
      <c r="A275" s="0" t="n">
        <v>2019</v>
      </c>
      <c r="B275" s="0" t="s">
        <v>157</v>
      </c>
      <c r="C275" s="0" t="s">
        <v>158</v>
      </c>
      <c r="D275" s="0" t="s">
        <v>74</v>
      </c>
      <c r="E275" s="0" t="n">
        <v>727</v>
      </c>
    </row>
    <row r="276" customFormat="false" ht="15" hidden="false" customHeight="false" outlineLevel="0" collapsed="false">
      <c r="A276" s="0" t="n">
        <v>2020</v>
      </c>
      <c r="B276" s="0" t="s">
        <v>157</v>
      </c>
      <c r="C276" s="0" t="s">
        <v>158</v>
      </c>
      <c r="D276" s="0" t="s">
        <v>74</v>
      </c>
      <c r="E276" s="0" t="n">
        <v>704</v>
      </c>
    </row>
    <row r="277" customFormat="false" ht="15" hidden="false" customHeight="false" outlineLevel="0" collapsed="false">
      <c r="A277" s="0" t="n">
        <v>2021</v>
      </c>
      <c r="B277" s="0" t="s">
        <v>157</v>
      </c>
      <c r="C277" s="0" t="s">
        <v>158</v>
      </c>
      <c r="D277" s="0" t="s">
        <v>74</v>
      </c>
      <c r="E277" s="0" t="n">
        <v>691</v>
      </c>
    </row>
    <row r="278" customFormat="false" ht="15" hidden="false" customHeight="false" outlineLevel="0" collapsed="false">
      <c r="A278" s="0" t="n">
        <v>2022</v>
      </c>
      <c r="B278" s="0" t="s">
        <v>157</v>
      </c>
      <c r="C278" s="0" t="s">
        <v>158</v>
      </c>
      <c r="D278" s="0" t="s">
        <v>74</v>
      </c>
      <c r="E278" s="0" t="n">
        <v>700</v>
      </c>
    </row>
    <row r="279" customFormat="false" ht="15" hidden="false" customHeight="false" outlineLevel="0" collapsed="false">
      <c r="A279" s="0" t="n">
        <v>2023</v>
      </c>
      <c r="B279" s="0" t="s">
        <v>157</v>
      </c>
      <c r="C279" s="0" t="s">
        <v>158</v>
      </c>
      <c r="D279" s="0" t="s">
        <v>74</v>
      </c>
      <c r="E279" s="0" t="n">
        <v>703</v>
      </c>
    </row>
    <row r="280" customFormat="false" ht="15" hidden="false" customHeight="false" outlineLevel="0" collapsed="false">
      <c r="A280" s="0" t="n">
        <v>2024</v>
      </c>
      <c r="B280" s="0" t="s">
        <v>157</v>
      </c>
      <c r="C280" s="0" t="s">
        <v>158</v>
      </c>
      <c r="D280" s="0" t="s">
        <v>74</v>
      </c>
      <c r="E280" s="0" t="n">
        <v>691</v>
      </c>
    </row>
    <row r="281" customFormat="false" ht="15" hidden="false" customHeight="false" outlineLevel="0" collapsed="false">
      <c r="A281" s="0" t="n">
        <v>2025</v>
      </c>
      <c r="B281" s="0" t="s">
        <v>157</v>
      </c>
      <c r="C281" s="0" t="s">
        <v>158</v>
      </c>
      <c r="D281" s="0" t="s">
        <v>74</v>
      </c>
      <c r="E281" s="0" t="n">
        <v>692</v>
      </c>
    </row>
    <row r="282" customFormat="false" ht="15" hidden="false" customHeight="false" outlineLevel="0" collapsed="false">
      <c r="A282" s="0" t="n">
        <v>2016</v>
      </c>
      <c r="B282" s="0" t="s">
        <v>147</v>
      </c>
      <c r="C282" s="0" t="s">
        <v>148</v>
      </c>
      <c r="D282" s="0" t="s">
        <v>75</v>
      </c>
      <c r="E282" s="0" t="n">
        <v>958</v>
      </c>
    </row>
    <row r="283" customFormat="false" ht="15" hidden="false" customHeight="false" outlineLevel="0" collapsed="false">
      <c r="A283" s="0" t="n">
        <v>2017</v>
      </c>
      <c r="B283" s="0" t="s">
        <v>147</v>
      </c>
      <c r="C283" s="0" t="s">
        <v>148</v>
      </c>
      <c r="D283" s="0" t="s">
        <v>75</v>
      </c>
      <c r="E283" s="0" t="n">
        <v>947</v>
      </c>
    </row>
    <row r="284" customFormat="false" ht="15" hidden="false" customHeight="false" outlineLevel="0" collapsed="false">
      <c r="A284" s="0" t="n">
        <v>2018</v>
      </c>
      <c r="B284" s="0" t="s">
        <v>147</v>
      </c>
      <c r="C284" s="0" t="s">
        <v>148</v>
      </c>
      <c r="D284" s="0" t="s">
        <v>75</v>
      </c>
      <c r="E284" s="0" t="n">
        <v>933</v>
      </c>
    </row>
    <row r="285" customFormat="false" ht="15" hidden="false" customHeight="false" outlineLevel="0" collapsed="false">
      <c r="A285" s="0" t="n">
        <v>2019</v>
      </c>
      <c r="B285" s="0" t="s">
        <v>147</v>
      </c>
      <c r="C285" s="0" t="s">
        <v>148</v>
      </c>
      <c r="D285" s="0" t="s">
        <v>75</v>
      </c>
      <c r="E285" s="0" t="n">
        <v>914</v>
      </c>
    </row>
    <row r="286" customFormat="false" ht="15" hidden="false" customHeight="false" outlineLevel="0" collapsed="false">
      <c r="A286" s="0" t="n">
        <v>2020</v>
      </c>
      <c r="B286" s="0" t="s">
        <v>147</v>
      </c>
      <c r="C286" s="0" t="s">
        <v>148</v>
      </c>
      <c r="D286" s="0" t="s">
        <v>75</v>
      </c>
      <c r="E286" s="0" t="n">
        <v>895</v>
      </c>
    </row>
    <row r="287" customFormat="false" ht="15" hidden="false" customHeight="false" outlineLevel="0" collapsed="false">
      <c r="A287" s="0" t="n">
        <v>2021</v>
      </c>
      <c r="B287" s="0" t="s">
        <v>147</v>
      </c>
      <c r="C287" s="0" t="s">
        <v>148</v>
      </c>
      <c r="D287" s="0" t="s">
        <v>75</v>
      </c>
      <c r="E287" s="0" t="n">
        <v>853</v>
      </c>
    </row>
    <row r="288" customFormat="false" ht="15" hidden="false" customHeight="false" outlineLevel="0" collapsed="false">
      <c r="A288" s="0" t="n">
        <v>2022</v>
      </c>
      <c r="B288" s="0" t="s">
        <v>147</v>
      </c>
      <c r="C288" s="0" t="s">
        <v>148</v>
      </c>
      <c r="D288" s="0" t="s">
        <v>75</v>
      </c>
      <c r="E288" s="0" t="n">
        <v>846</v>
      </c>
    </row>
    <row r="289" customFormat="false" ht="15" hidden="false" customHeight="false" outlineLevel="0" collapsed="false">
      <c r="A289" s="0" t="n">
        <v>2023</v>
      </c>
      <c r="B289" s="0" t="s">
        <v>147</v>
      </c>
      <c r="C289" s="0" t="s">
        <v>148</v>
      </c>
      <c r="D289" s="0" t="s">
        <v>75</v>
      </c>
      <c r="E289" s="0" t="n">
        <v>836</v>
      </c>
    </row>
    <row r="290" customFormat="false" ht="15" hidden="false" customHeight="false" outlineLevel="0" collapsed="false">
      <c r="A290" s="0" t="n">
        <v>2024</v>
      </c>
      <c r="B290" s="0" t="s">
        <v>147</v>
      </c>
      <c r="C290" s="0" t="s">
        <v>148</v>
      </c>
      <c r="D290" s="0" t="s">
        <v>75</v>
      </c>
      <c r="E290" s="0" t="n">
        <v>820</v>
      </c>
    </row>
    <row r="291" customFormat="false" ht="15" hidden="false" customHeight="false" outlineLevel="0" collapsed="false">
      <c r="A291" s="0" t="n">
        <v>2025</v>
      </c>
      <c r="B291" s="0" t="s">
        <v>147</v>
      </c>
      <c r="C291" s="0" t="s">
        <v>148</v>
      </c>
      <c r="D291" s="0" t="s">
        <v>75</v>
      </c>
      <c r="E291" s="0" t="n">
        <v>813</v>
      </c>
    </row>
    <row r="292" customFormat="false" ht="15" hidden="false" customHeight="false" outlineLevel="0" collapsed="false">
      <c r="A292" s="0" t="n">
        <v>2016</v>
      </c>
      <c r="B292" s="0" t="s">
        <v>149</v>
      </c>
      <c r="C292" s="0" t="s">
        <v>150</v>
      </c>
      <c r="D292" s="0" t="s">
        <v>74</v>
      </c>
      <c r="E292" s="0" t="n">
        <v>767</v>
      </c>
    </row>
    <row r="293" customFormat="false" ht="15" hidden="false" customHeight="false" outlineLevel="0" collapsed="false">
      <c r="A293" s="0" t="n">
        <v>2017</v>
      </c>
      <c r="B293" s="0" t="s">
        <v>149</v>
      </c>
      <c r="C293" s="0" t="s">
        <v>150</v>
      </c>
      <c r="D293" s="0" t="s">
        <v>74</v>
      </c>
      <c r="E293" s="0" t="n">
        <v>765</v>
      </c>
    </row>
    <row r="294" customFormat="false" ht="15" hidden="false" customHeight="false" outlineLevel="0" collapsed="false">
      <c r="A294" s="0" t="n">
        <v>2018</v>
      </c>
      <c r="B294" s="0" t="s">
        <v>149</v>
      </c>
      <c r="C294" s="0" t="s">
        <v>150</v>
      </c>
      <c r="D294" s="0" t="s">
        <v>74</v>
      </c>
      <c r="E294" s="0" t="n">
        <v>766</v>
      </c>
    </row>
    <row r="295" customFormat="false" ht="15" hidden="false" customHeight="false" outlineLevel="0" collapsed="false">
      <c r="A295" s="0" t="n">
        <v>2019</v>
      </c>
      <c r="B295" s="0" t="s">
        <v>149</v>
      </c>
      <c r="C295" s="0" t="s">
        <v>150</v>
      </c>
      <c r="D295" s="0" t="s">
        <v>74</v>
      </c>
      <c r="E295" s="0" t="n">
        <v>758</v>
      </c>
    </row>
    <row r="296" customFormat="false" ht="15" hidden="false" customHeight="false" outlineLevel="0" collapsed="false">
      <c r="A296" s="0" t="n">
        <v>2020</v>
      </c>
      <c r="B296" s="0" t="s">
        <v>149</v>
      </c>
      <c r="C296" s="0" t="s">
        <v>150</v>
      </c>
      <c r="D296" s="0" t="s">
        <v>74</v>
      </c>
      <c r="E296" s="0" t="n">
        <v>757</v>
      </c>
    </row>
    <row r="297" customFormat="false" ht="15" hidden="false" customHeight="false" outlineLevel="0" collapsed="false">
      <c r="A297" s="0" t="n">
        <v>2021</v>
      </c>
      <c r="B297" s="0" t="s">
        <v>149</v>
      </c>
      <c r="C297" s="0" t="s">
        <v>150</v>
      </c>
      <c r="D297" s="0" t="s">
        <v>74</v>
      </c>
      <c r="E297" s="0" t="n">
        <v>761</v>
      </c>
    </row>
    <row r="298" customFormat="false" ht="15" hidden="false" customHeight="false" outlineLevel="0" collapsed="false">
      <c r="A298" s="0" t="n">
        <v>2022</v>
      </c>
      <c r="B298" s="0" t="s">
        <v>149</v>
      </c>
      <c r="C298" s="0" t="s">
        <v>150</v>
      </c>
      <c r="D298" s="0" t="s">
        <v>74</v>
      </c>
      <c r="E298" s="0" t="n">
        <v>757</v>
      </c>
    </row>
    <row r="299" customFormat="false" ht="15" hidden="false" customHeight="false" outlineLevel="0" collapsed="false">
      <c r="A299" s="0" t="n">
        <v>2023</v>
      </c>
      <c r="B299" s="0" t="s">
        <v>149</v>
      </c>
      <c r="C299" s="0" t="s">
        <v>150</v>
      </c>
      <c r="D299" s="0" t="s">
        <v>74</v>
      </c>
      <c r="E299" s="0" t="n">
        <v>755</v>
      </c>
    </row>
    <row r="300" customFormat="false" ht="15" hidden="false" customHeight="false" outlineLevel="0" collapsed="false">
      <c r="A300" s="0" t="n">
        <v>2024</v>
      </c>
      <c r="B300" s="0" t="s">
        <v>149</v>
      </c>
      <c r="C300" s="0" t="s">
        <v>150</v>
      </c>
      <c r="D300" s="0" t="s">
        <v>74</v>
      </c>
      <c r="E300" s="0" t="n">
        <v>765</v>
      </c>
    </row>
    <row r="301" customFormat="false" ht="15" hidden="false" customHeight="false" outlineLevel="0" collapsed="false">
      <c r="A301" s="0" t="n">
        <v>2025</v>
      </c>
      <c r="B301" s="0" t="s">
        <v>149</v>
      </c>
      <c r="C301" s="0" t="s">
        <v>150</v>
      </c>
      <c r="D301" s="0" t="s">
        <v>74</v>
      </c>
      <c r="E301" s="0" t="n">
        <v>772</v>
      </c>
    </row>
    <row r="302" customFormat="false" ht="15" hidden="false" customHeight="false" outlineLevel="0" collapsed="false">
      <c r="A302" s="0" t="n">
        <v>2016</v>
      </c>
      <c r="B302" s="0" t="s">
        <v>165</v>
      </c>
      <c r="C302" s="0" t="s">
        <v>166</v>
      </c>
      <c r="D302" s="0" t="s">
        <v>75</v>
      </c>
      <c r="E302" s="0" t="n">
        <v>818</v>
      </c>
    </row>
    <row r="303" customFormat="false" ht="15" hidden="false" customHeight="false" outlineLevel="0" collapsed="false">
      <c r="A303" s="0" t="n">
        <v>2017</v>
      </c>
      <c r="B303" s="0" t="s">
        <v>165</v>
      </c>
      <c r="C303" s="0" t="s">
        <v>166</v>
      </c>
      <c r="D303" s="0" t="s">
        <v>75</v>
      </c>
      <c r="E303" s="0" t="n">
        <v>806</v>
      </c>
    </row>
    <row r="304" customFormat="false" ht="15" hidden="false" customHeight="false" outlineLevel="0" collapsed="false">
      <c r="A304" s="0" t="n">
        <v>2018</v>
      </c>
      <c r="B304" s="0" t="s">
        <v>165</v>
      </c>
      <c r="C304" s="0" t="s">
        <v>166</v>
      </c>
      <c r="D304" s="0" t="s">
        <v>75</v>
      </c>
      <c r="E304" s="0" t="n">
        <v>791</v>
      </c>
    </row>
    <row r="305" customFormat="false" ht="15" hidden="false" customHeight="false" outlineLevel="0" collapsed="false">
      <c r="A305" s="0" t="n">
        <v>2019</v>
      </c>
      <c r="B305" s="0" t="s">
        <v>165</v>
      </c>
      <c r="C305" s="0" t="s">
        <v>166</v>
      </c>
      <c r="D305" s="0" t="s">
        <v>75</v>
      </c>
      <c r="E305" s="0" t="n">
        <v>789</v>
      </c>
    </row>
    <row r="306" customFormat="false" ht="15" hidden="false" customHeight="false" outlineLevel="0" collapsed="false">
      <c r="A306" s="0" t="n">
        <v>2020</v>
      </c>
      <c r="B306" s="0" t="s">
        <v>165</v>
      </c>
      <c r="C306" s="0" t="s">
        <v>166</v>
      </c>
      <c r="D306" s="0" t="s">
        <v>75</v>
      </c>
      <c r="E306" s="0" t="n">
        <v>774</v>
      </c>
    </row>
    <row r="307" customFormat="false" ht="15" hidden="false" customHeight="false" outlineLevel="0" collapsed="false">
      <c r="A307" s="0" t="n">
        <v>2021</v>
      </c>
      <c r="B307" s="0" t="s">
        <v>165</v>
      </c>
      <c r="C307" s="0" t="s">
        <v>166</v>
      </c>
      <c r="D307" s="0" t="s">
        <v>75</v>
      </c>
      <c r="E307" s="0" t="n">
        <v>661</v>
      </c>
    </row>
    <row r="308" customFormat="false" ht="15" hidden="false" customHeight="false" outlineLevel="0" collapsed="false">
      <c r="A308" s="0" t="n">
        <v>2022</v>
      </c>
      <c r="B308" s="0" t="s">
        <v>165</v>
      </c>
      <c r="C308" s="0" t="s">
        <v>166</v>
      </c>
      <c r="D308" s="0" t="s">
        <v>75</v>
      </c>
      <c r="E308" s="0" t="n">
        <v>626</v>
      </c>
    </row>
    <row r="309" customFormat="false" ht="15" hidden="false" customHeight="false" outlineLevel="0" collapsed="false">
      <c r="A309" s="0" t="n">
        <v>2023</v>
      </c>
      <c r="B309" s="0" t="s">
        <v>165</v>
      </c>
      <c r="C309" s="0" t="s">
        <v>166</v>
      </c>
      <c r="D309" s="0" t="s">
        <v>75</v>
      </c>
      <c r="E309" s="0" t="n">
        <v>617</v>
      </c>
    </row>
    <row r="310" customFormat="false" ht="15" hidden="false" customHeight="false" outlineLevel="0" collapsed="false">
      <c r="A310" s="0" t="n">
        <v>2024</v>
      </c>
      <c r="B310" s="0" t="s">
        <v>165</v>
      </c>
      <c r="C310" s="0" t="s">
        <v>166</v>
      </c>
      <c r="D310" s="0" t="s">
        <v>75</v>
      </c>
      <c r="E310" s="0" t="n">
        <v>619</v>
      </c>
    </row>
    <row r="311" customFormat="false" ht="15" hidden="false" customHeight="false" outlineLevel="0" collapsed="false">
      <c r="A311" s="0" t="n">
        <v>2025</v>
      </c>
      <c r="B311" s="0" t="s">
        <v>165</v>
      </c>
      <c r="C311" s="0" t="s">
        <v>166</v>
      </c>
      <c r="D311" s="0" t="s">
        <v>75</v>
      </c>
      <c r="E311" s="0" t="n">
        <v>616</v>
      </c>
    </row>
    <row r="312" customFormat="false" ht="15" hidden="false" customHeight="false" outlineLevel="0" collapsed="false">
      <c r="A312" s="0" t="n">
        <v>2016</v>
      </c>
      <c r="B312" s="0" t="s">
        <v>175</v>
      </c>
      <c r="C312" s="0" t="s">
        <v>176</v>
      </c>
      <c r="D312" s="0" t="s">
        <v>72</v>
      </c>
      <c r="E312" s="0" t="n">
        <v>1632</v>
      </c>
    </row>
    <row r="313" customFormat="false" ht="15" hidden="false" customHeight="false" outlineLevel="0" collapsed="false">
      <c r="A313" s="0" t="n">
        <v>2017</v>
      </c>
      <c r="B313" s="0" t="s">
        <v>175</v>
      </c>
      <c r="C313" s="0" t="s">
        <v>176</v>
      </c>
      <c r="D313" s="0" t="s">
        <v>72</v>
      </c>
      <c r="E313" s="0" t="n">
        <v>1615</v>
      </c>
    </row>
    <row r="314" customFormat="false" ht="15" hidden="false" customHeight="false" outlineLevel="0" collapsed="false">
      <c r="A314" s="0" t="n">
        <v>2018</v>
      </c>
      <c r="B314" s="0" t="s">
        <v>175</v>
      </c>
      <c r="C314" s="0" t="s">
        <v>176</v>
      </c>
      <c r="D314" s="0" t="s">
        <v>72</v>
      </c>
      <c r="E314" s="0" t="n">
        <v>1598</v>
      </c>
    </row>
    <row r="315" customFormat="false" ht="15" hidden="false" customHeight="false" outlineLevel="0" collapsed="false">
      <c r="A315" s="0" t="n">
        <v>2019</v>
      </c>
      <c r="B315" s="0" t="s">
        <v>175</v>
      </c>
      <c r="C315" s="0" t="s">
        <v>176</v>
      </c>
      <c r="D315" s="0" t="s">
        <v>72</v>
      </c>
      <c r="E315" s="0" t="n">
        <v>1581</v>
      </c>
    </row>
    <row r="316" customFormat="false" ht="15" hidden="false" customHeight="false" outlineLevel="0" collapsed="false">
      <c r="A316" s="0" t="n">
        <v>2020</v>
      </c>
      <c r="B316" s="0" t="s">
        <v>175</v>
      </c>
      <c r="C316" s="0" t="s">
        <v>176</v>
      </c>
      <c r="D316" s="0" t="s">
        <v>72</v>
      </c>
      <c r="E316" s="0" t="n">
        <v>1565</v>
      </c>
    </row>
    <row r="317" customFormat="false" ht="15" hidden="false" customHeight="false" outlineLevel="0" collapsed="false">
      <c r="A317" s="0" t="n">
        <v>2021</v>
      </c>
      <c r="B317" s="0" t="s">
        <v>175</v>
      </c>
      <c r="C317" s="0" t="s">
        <v>176</v>
      </c>
      <c r="D317" s="0" t="s">
        <v>72</v>
      </c>
      <c r="E317" s="0" t="n">
        <v>1555</v>
      </c>
    </row>
    <row r="318" customFormat="false" ht="15" hidden="false" customHeight="false" outlineLevel="0" collapsed="false">
      <c r="A318" s="0" t="n">
        <v>2022</v>
      </c>
      <c r="B318" s="0" t="s">
        <v>175</v>
      </c>
      <c r="C318" s="0" t="s">
        <v>176</v>
      </c>
      <c r="D318" s="0" t="s">
        <v>72</v>
      </c>
      <c r="E318" s="0" t="n">
        <v>1553</v>
      </c>
    </row>
    <row r="319" customFormat="false" ht="15" hidden="false" customHeight="false" outlineLevel="0" collapsed="false">
      <c r="A319" s="0" t="n">
        <v>2023</v>
      </c>
      <c r="B319" s="0" t="s">
        <v>175</v>
      </c>
      <c r="C319" s="0" t="s">
        <v>176</v>
      </c>
      <c r="D319" s="0" t="s">
        <v>72</v>
      </c>
      <c r="E319" s="0" t="n">
        <v>1562</v>
      </c>
    </row>
    <row r="320" customFormat="false" ht="15" hidden="false" customHeight="false" outlineLevel="0" collapsed="false">
      <c r="A320" s="0" t="n">
        <v>2024</v>
      </c>
      <c r="B320" s="0" t="s">
        <v>175</v>
      </c>
      <c r="C320" s="0" t="s">
        <v>176</v>
      </c>
      <c r="D320" s="0" t="s">
        <v>72</v>
      </c>
      <c r="E320" s="0" t="n">
        <v>1588</v>
      </c>
    </row>
    <row r="321" customFormat="false" ht="15" hidden="false" customHeight="false" outlineLevel="0" collapsed="false">
      <c r="A321" s="0" t="n">
        <v>2025</v>
      </c>
      <c r="B321" s="0" t="s">
        <v>175</v>
      </c>
      <c r="C321" s="0" t="s">
        <v>176</v>
      </c>
      <c r="D321" s="0" t="s">
        <v>72</v>
      </c>
      <c r="E321" s="0" t="n">
        <v>1597</v>
      </c>
    </row>
    <row r="322" customFormat="false" ht="15" hidden="false" customHeight="false" outlineLevel="0" collapsed="false">
      <c r="A322" s="0" t="n">
        <v>2016</v>
      </c>
      <c r="B322" s="0" t="s">
        <v>169</v>
      </c>
      <c r="C322" s="0" t="s">
        <v>170</v>
      </c>
      <c r="D322" s="0" t="s">
        <v>72</v>
      </c>
      <c r="E322" s="0" t="n">
        <v>1118</v>
      </c>
    </row>
    <row r="323" customFormat="false" ht="15" hidden="false" customHeight="false" outlineLevel="0" collapsed="false">
      <c r="A323" s="0" t="n">
        <v>2017</v>
      </c>
      <c r="B323" s="0" t="s">
        <v>169</v>
      </c>
      <c r="C323" s="0" t="s">
        <v>170</v>
      </c>
      <c r="D323" s="0" t="s">
        <v>72</v>
      </c>
      <c r="E323" s="0" t="n">
        <v>1111</v>
      </c>
    </row>
    <row r="324" customFormat="false" ht="15" hidden="false" customHeight="false" outlineLevel="0" collapsed="false">
      <c r="A324" s="0" t="n">
        <v>2018</v>
      </c>
      <c r="B324" s="0" t="s">
        <v>169</v>
      </c>
      <c r="C324" s="0" t="s">
        <v>170</v>
      </c>
      <c r="D324" s="0" t="s">
        <v>72</v>
      </c>
      <c r="E324" s="0" t="n">
        <v>1097</v>
      </c>
    </row>
    <row r="325" customFormat="false" ht="15" hidden="false" customHeight="false" outlineLevel="0" collapsed="false">
      <c r="A325" s="0" t="n">
        <v>2019</v>
      </c>
      <c r="B325" s="0" t="s">
        <v>169</v>
      </c>
      <c r="C325" s="0" t="s">
        <v>170</v>
      </c>
      <c r="D325" s="0" t="s">
        <v>72</v>
      </c>
      <c r="E325" s="0" t="n">
        <v>994</v>
      </c>
    </row>
    <row r="326" customFormat="false" ht="15" hidden="false" customHeight="false" outlineLevel="0" collapsed="false">
      <c r="A326" s="0" t="n">
        <v>2020</v>
      </c>
      <c r="B326" s="0" t="s">
        <v>169</v>
      </c>
      <c r="C326" s="0" t="s">
        <v>170</v>
      </c>
      <c r="D326" s="0" t="s">
        <v>72</v>
      </c>
      <c r="E326" s="0" t="n">
        <v>1038</v>
      </c>
    </row>
    <row r="327" customFormat="false" ht="15" hidden="false" customHeight="false" outlineLevel="0" collapsed="false">
      <c r="A327" s="0" t="n">
        <v>2021</v>
      </c>
      <c r="B327" s="0" t="s">
        <v>169</v>
      </c>
      <c r="C327" s="0" t="s">
        <v>170</v>
      </c>
      <c r="D327" s="0" t="s">
        <v>72</v>
      </c>
      <c r="E327" s="0" t="n">
        <v>1027</v>
      </c>
    </row>
    <row r="328" customFormat="false" ht="15" hidden="false" customHeight="false" outlineLevel="0" collapsed="false">
      <c r="A328" s="0" t="n">
        <v>2022</v>
      </c>
      <c r="B328" s="0" t="s">
        <v>169</v>
      </c>
      <c r="C328" s="0" t="s">
        <v>170</v>
      </c>
      <c r="D328" s="0" t="s">
        <v>72</v>
      </c>
      <c r="E328" s="0" t="n">
        <v>1024</v>
      </c>
    </row>
    <row r="329" customFormat="false" ht="15" hidden="false" customHeight="false" outlineLevel="0" collapsed="false">
      <c r="A329" s="0" t="n">
        <v>2023</v>
      </c>
      <c r="B329" s="0" t="s">
        <v>169</v>
      </c>
      <c r="C329" s="0" t="s">
        <v>170</v>
      </c>
      <c r="D329" s="0" t="s">
        <v>72</v>
      </c>
      <c r="E329" s="0" t="n">
        <v>1025</v>
      </c>
    </row>
    <row r="330" customFormat="false" ht="15" hidden="false" customHeight="false" outlineLevel="0" collapsed="false">
      <c r="A330" s="0" t="n">
        <v>2024</v>
      </c>
      <c r="B330" s="0" t="s">
        <v>169</v>
      </c>
      <c r="C330" s="0" t="s">
        <v>170</v>
      </c>
      <c r="D330" s="0" t="s">
        <v>72</v>
      </c>
      <c r="E330" s="0" t="n">
        <v>1044</v>
      </c>
    </row>
    <row r="331" customFormat="false" ht="15" hidden="false" customHeight="false" outlineLevel="0" collapsed="false">
      <c r="A331" s="0" t="n">
        <v>2025</v>
      </c>
      <c r="B331" s="0" t="s">
        <v>169</v>
      </c>
      <c r="C331" s="0" t="s">
        <v>170</v>
      </c>
      <c r="D331" s="0" t="s">
        <v>72</v>
      </c>
      <c r="E331" s="0" t="n">
        <v>1048</v>
      </c>
    </row>
    <row r="332" customFormat="false" ht="15" hidden="false" customHeight="false" outlineLevel="0" collapsed="false">
      <c r="A332" s="0" t="n">
        <v>2016</v>
      </c>
      <c r="B332" s="0" t="s">
        <v>173</v>
      </c>
      <c r="C332" s="0" t="s">
        <v>174</v>
      </c>
      <c r="D332" s="0" t="s">
        <v>74</v>
      </c>
      <c r="E332" s="0" t="n">
        <v>979</v>
      </c>
    </row>
    <row r="333" customFormat="false" ht="15" hidden="false" customHeight="false" outlineLevel="0" collapsed="false">
      <c r="A333" s="0" t="n">
        <v>2017</v>
      </c>
      <c r="B333" s="0" t="s">
        <v>173</v>
      </c>
      <c r="C333" s="0" t="s">
        <v>174</v>
      </c>
      <c r="D333" s="0" t="s">
        <v>74</v>
      </c>
      <c r="E333" s="0" t="n">
        <v>957</v>
      </c>
    </row>
    <row r="334" customFormat="false" ht="15" hidden="false" customHeight="false" outlineLevel="0" collapsed="false">
      <c r="A334" s="0" t="n">
        <v>2018</v>
      </c>
      <c r="B334" s="0" t="s">
        <v>173</v>
      </c>
      <c r="C334" s="0" t="s">
        <v>174</v>
      </c>
      <c r="D334" s="0" t="s">
        <v>74</v>
      </c>
      <c r="E334" s="0" t="n">
        <v>934</v>
      </c>
    </row>
    <row r="335" customFormat="false" ht="15" hidden="false" customHeight="false" outlineLevel="0" collapsed="false">
      <c r="A335" s="0" t="n">
        <v>2019</v>
      </c>
      <c r="B335" s="0" t="s">
        <v>173</v>
      </c>
      <c r="C335" s="0" t="s">
        <v>174</v>
      </c>
      <c r="D335" s="0" t="s">
        <v>74</v>
      </c>
      <c r="E335" s="0" t="n">
        <v>930</v>
      </c>
    </row>
    <row r="336" customFormat="false" ht="15" hidden="false" customHeight="false" outlineLevel="0" collapsed="false">
      <c r="A336" s="0" t="n">
        <v>2020</v>
      </c>
      <c r="B336" s="0" t="s">
        <v>173</v>
      </c>
      <c r="C336" s="0" t="s">
        <v>174</v>
      </c>
      <c r="D336" s="0" t="s">
        <v>74</v>
      </c>
      <c r="E336" s="0" t="n">
        <v>908</v>
      </c>
    </row>
    <row r="337" customFormat="false" ht="15" hidden="false" customHeight="false" outlineLevel="0" collapsed="false">
      <c r="A337" s="0" t="n">
        <v>2021</v>
      </c>
      <c r="B337" s="0" t="s">
        <v>173</v>
      </c>
      <c r="C337" s="0" t="s">
        <v>174</v>
      </c>
      <c r="D337" s="0" t="s">
        <v>74</v>
      </c>
      <c r="E337" s="0" t="n">
        <v>895</v>
      </c>
    </row>
    <row r="338" customFormat="false" ht="15" hidden="false" customHeight="false" outlineLevel="0" collapsed="false">
      <c r="A338" s="0" t="n">
        <v>2022</v>
      </c>
      <c r="B338" s="0" t="s">
        <v>173</v>
      </c>
      <c r="C338" s="0" t="s">
        <v>174</v>
      </c>
      <c r="D338" s="0" t="s">
        <v>74</v>
      </c>
      <c r="E338" s="0" t="n">
        <v>895</v>
      </c>
    </row>
    <row r="339" customFormat="false" ht="15" hidden="false" customHeight="false" outlineLevel="0" collapsed="false">
      <c r="A339" s="0" t="n">
        <v>2023</v>
      </c>
      <c r="B339" s="0" t="s">
        <v>173</v>
      </c>
      <c r="C339" s="0" t="s">
        <v>174</v>
      </c>
      <c r="D339" s="0" t="s">
        <v>74</v>
      </c>
      <c r="E339" s="0" t="n">
        <v>897</v>
      </c>
    </row>
    <row r="340" customFormat="false" ht="15" hidden="false" customHeight="false" outlineLevel="0" collapsed="false">
      <c r="A340" s="0" t="n">
        <v>2024</v>
      </c>
      <c r="B340" s="0" t="s">
        <v>173</v>
      </c>
      <c r="C340" s="0" t="s">
        <v>174</v>
      </c>
      <c r="D340" s="0" t="s">
        <v>74</v>
      </c>
      <c r="E340" s="0" t="n">
        <v>902</v>
      </c>
    </row>
    <row r="341" customFormat="false" ht="15" hidden="false" customHeight="false" outlineLevel="0" collapsed="false">
      <c r="A341" s="0" t="n">
        <v>2025</v>
      </c>
      <c r="B341" s="0" t="s">
        <v>173</v>
      </c>
      <c r="C341" s="0" t="s">
        <v>174</v>
      </c>
      <c r="D341" s="0" t="s">
        <v>74</v>
      </c>
      <c r="E341" s="0" t="n">
        <v>914</v>
      </c>
    </row>
    <row r="342" customFormat="false" ht="15" hidden="false" customHeight="false" outlineLevel="0" collapsed="false">
      <c r="A342" s="0" t="n">
        <v>2016</v>
      </c>
      <c r="B342" s="0" t="s">
        <v>171</v>
      </c>
      <c r="C342" s="0" t="s">
        <v>172</v>
      </c>
      <c r="D342" s="0" t="s">
        <v>73</v>
      </c>
      <c r="E342" s="0" t="n">
        <v>2329</v>
      </c>
    </row>
    <row r="343" customFormat="false" ht="15" hidden="false" customHeight="false" outlineLevel="0" collapsed="false">
      <c r="A343" s="0" t="n">
        <v>2017</v>
      </c>
      <c r="B343" s="0" t="s">
        <v>171</v>
      </c>
      <c r="C343" s="0" t="s">
        <v>172</v>
      </c>
      <c r="D343" s="0" t="s">
        <v>73</v>
      </c>
      <c r="E343" s="0" t="n">
        <v>2246</v>
      </c>
    </row>
    <row r="344" customFormat="false" ht="15" hidden="false" customHeight="false" outlineLevel="0" collapsed="false">
      <c r="A344" s="0" t="n">
        <v>2018</v>
      </c>
      <c r="B344" s="0" t="s">
        <v>171</v>
      </c>
      <c r="C344" s="0" t="s">
        <v>172</v>
      </c>
      <c r="D344" s="0" t="s">
        <v>73</v>
      </c>
      <c r="E344" s="0" t="n">
        <v>2217</v>
      </c>
    </row>
    <row r="345" customFormat="false" ht="15" hidden="false" customHeight="false" outlineLevel="0" collapsed="false">
      <c r="A345" s="0" t="n">
        <v>2019</v>
      </c>
      <c r="B345" s="0" t="s">
        <v>171</v>
      </c>
      <c r="C345" s="0" t="s">
        <v>172</v>
      </c>
      <c r="D345" s="0" t="s">
        <v>73</v>
      </c>
      <c r="E345" s="0" t="n">
        <v>2207</v>
      </c>
    </row>
    <row r="346" customFormat="false" ht="15" hidden="false" customHeight="false" outlineLevel="0" collapsed="false">
      <c r="A346" s="0" t="n">
        <v>2020</v>
      </c>
      <c r="B346" s="0" t="s">
        <v>171</v>
      </c>
      <c r="C346" s="0" t="s">
        <v>172</v>
      </c>
      <c r="D346" s="0" t="s">
        <v>73</v>
      </c>
      <c r="E346" s="0" t="n">
        <v>2192</v>
      </c>
    </row>
    <row r="347" customFormat="false" ht="15" hidden="false" customHeight="false" outlineLevel="0" collapsed="false">
      <c r="A347" s="0" t="n">
        <v>2021</v>
      </c>
      <c r="B347" s="0" t="s">
        <v>171</v>
      </c>
      <c r="C347" s="0" t="s">
        <v>172</v>
      </c>
      <c r="D347" s="0" t="s">
        <v>73</v>
      </c>
      <c r="E347" s="0" t="n">
        <v>2195</v>
      </c>
    </row>
    <row r="348" customFormat="false" ht="15" hidden="false" customHeight="false" outlineLevel="0" collapsed="false">
      <c r="A348" s="0" t="n">
        <v>2022</v>
      </c>
      <c r="B348" s="0" t="s">
        <v>171</v>
      </c>
      <c r="C348" s="0" t="s">
        <v>172</v>
      </c>
      <c r="D348" s="0" t="s">
        <v>73</v>
      </c>
      <c r="E348" s="0" t="n">
        <v>2205</v>
      </c>
    </row>
    <row r="349" customFormat="false" ht="15" hidden="false" customHeight="false" outlineLevel="0" collapsed="false">
      <c r="A349" s="0" t="n">
        <v>2023</v>
      </c>
      <c r="B349" s="0" t="s">
        <v>171</v>
      </c>
      <c r="C349" s="0" t="s">
        <v>172</v>
      </c>
      <c r="D349" s="0" t="s">
        <v>73</v>
      </c>
      <c r="E349" s="0" t="n">
        <v>2210</v>
      </c>
    </row>
    <row r="350" customFormat="false" ht="15" hidden="false" customHeight="false" outlineLevel="0" collapsed="false">
      <c r="A350" s="0" t="n">
        <v>2024</v>
      </c>
      <c r="B350" s="0" t="s">
        <v>171</v>
      </c>
      <c r="C350" s="0" t="s">
        <v>172</v>
      </c>
      <c r="D350" s="0" t="s">
        <v>73</v>
      </c>
      <c r="E350" s="0" t="n">
        <v>2212</v>
      </c>
    </row>
    <row r="351" customFormat="false" ht="15" hidden="false" customHeight="false" outlineLevel="0" collapsed="false">
      <c r="A351" s="0" t="n">
        <v>2025</v>
      </c>
      <c r="B351" s="0" t="s">
        <v>171</v>
      </c>
      <c r="C351" s="0" t="s">
        <v>172</v>
      </c>
      <c r="D351" s="0" t="s">
        <v>73</v>
      </c>
      <c r="E351" s="0" t="n">
        <v>2238</v>
      </c>
    </row>
    <row r="352" customFormat="false" ht="15" hidden="false" customHeight="false" outlineLevel="0" collapsed="false">
      <c r="A352" s="0" t="n">
        <v>2016</v>
      </c>
      <c r="B352" s="0" t="s">
        <v>167</v>
      </c>
      <c r="C352" s="0" t="s">
        <v>168</v>
      </c>
      <c r="D352" s="0" t="s">
        <v>73</v>
      </c>
      <c r="E352" s="0" t="n">
        <v>1262</v>
      </c>
    </row>
    <row r="353" customFormat="false" ht="15" hidden="false" customHeight="false" outlineLevel="0" collapsed="false">
      <c r="A353" s="0" t="n">
        <v>2017</v>
      </c>
      <c r="B353" s="0" t="s">
        <v>167</v>
      </c>
      <c r="C353" s="0" t="s">
        <v>168</v>
      </c>
      <c r="D353" s="0" t="s">
        <v>73</v>
      </c>
      <c r="E353" s="0" t="n">
        <v>1248</v>
      </c>
    </row>
    <row r="354" customFormat="false" ht="15" hidden="false" customHeight="false" outlineLevel="0" collapsed="false">
      <c r="A354" s="0" t="n">
        <v>2018</v>
      </c>
      <c r="B354" s="0" t="s">
        <v>167</v>
      </c>
      <c r="C354" s="0" t="s">
        <v>168</v>
      </c>
      <c r="D354" s="0" t="s">
        <v>73</v>
      </c>
      <c r="E354" s="0" t="n">
        <v>1239</v>
      </c>
    </row>
    <row r="355" customFormat="false" ht="15" hidden="false" customHeight="false" outlineLevel="0" collapsed="false">
      <c r="A355" s="0" t="n">
        <v>2019</v>
      </c>
      <c r="B355" s="0" t="s">
        <v>167</v>
      </c>
      <c r="C355" s="0" t="s">
        <v>168</v>
      </c>
      <c r="D355" s="0" t="s">
        <v>73</v>
      </c>
      <c r="E355" s="0" t="n">
        <v>1224</v>
      </c>
    </row>
    <row r="356" customFormat="false" ht="15" hidden="false" customHeight="false" outlineLevel="0" collapsed="false">
      <c r="A356" s="0" t="n">
        <v>2020</v>
      </c>
      <c r="B356" s="0" t="s">
        <v>167</v>
      </c>
      <c r="C356" s="0" t="s">
        <v>168</v>
      </c>
      <c r="D356" s="0" t="s">
        <v>73</v>
      </c>
      <c r="E356" s="0" t="n">
        <v>1225</v>
      </c>
    </row>
    <row r="357" customFormat="false" ht="15" hidden="false" customHeight="false" outlineLevel="0" collapsed="false">
      <c r="A357" s="0" t="n">
        <v>2021</v>
      </c>
      <c r="B357" s="0" t="s">
        <v>167</v>
      </c>
      <c r="C357" s="0" t="s">
        <v>168</v>
      </c>
      <c r="D357" s="0" t="s">
        <v>73</v>
      </c>
      <c r="E357" s="0" t="n">
        <v>1225</v>
      </c>
    </row>
    <row r="358" customFormat="false" ht="15" hidden="false" customHeight="false" outlineLevel="0" collapsed="false">
      <c r="A358" s="0" t="n">
        <v>2022</v>
      </c>
      <c r="B358" s="0" t="s">
        <v>167</v>
      </c>
      <c r="C358" s="0" t="s">
        <v>168</v>
      </c>
      <c r="D358" s="0" t="s">
        <v>73</v>
      </c>
      <c r="E358" s="0" t="n">
        <v>1230</v>
      </c>
    </row>
    <row r="359" customFormat="false" ht="15" hidden="false" customHeight="false" outlineLevel="0" collapsed="false">
      <c r="A359" s="0" t="n">
        <v>2023</v>
      </c>
      <c r="B359" s="0" t="s">
        <v>167</v>
      </c>
      <c r="C359" s="0" t="s">
        <v>168</v>
      </c>
      <c r="D359" s="0" t="s">
        <v>73</v>
      </c>
      <c r="E359" s="0" t="n">
        <v>1238</v>
      </c>
    </row>
    <row r="360" customFormat="false" ht="15" hidden="false" customHeight="false" outlineLevel="0" collapsed="false">
      <c r="A360" s="0" t="n">
        <v>2024</v>
      </c>
      <c r="B360" s="0" t="s">
        <v>167</v>
      </c>
      <c r="C360" s="0" t="s">
        <v>168</v>
      </c>
      <c r="D360" s="0" t="s">
        <v>73</v>
      </c>
      <c r="E360" s="0" t="n">
        <v>1249</v>
      </c>
    </row>
    <row r="361" customFormat="false" ht="15" hidden="false" customHeight="false" outlineLevel="0" collapsed="false">
      <c r="A361" s="0" t="n">
        <v>2025</v>
      </c>
      <c r="B361" s="0" t="s">
        <v>167</v>
      </c>
      <c r="C361" s="0" t="s">
        <v>168</v>
      </c>
      <c r="D361" s="0" t="s">
        <v>73</v>
      </c>
      <c r="E361" s="0" t="n">
        <v>1262</v>
      </c>
    </row>
    <row r="362" customFormat="false" ht="15" hidden="false" customHeight="false" outlineLevel="0" collapsed="false">
      <c r="A362" s="0" t="n">
        <v>2016</v>
      </c>
      <c r="B362" s="0" t="s">
        <v>177</v>
      </c>
      <c r="C362" s="0" t="s">
        <v>178</v>
      </c>
      <c r="D362" s="0" t="s">
        <v>73</v>
      </c>
      <c r="E362" s="0" t="n">
        <v>1036</v>
      </c>
    </row>
    <row r="363" customFormat="false" ht="15" hidden="false" customHeight="false" outlineLevel="0" collapsed="false">
      <c r="A363" s="0" t="n">
        <v>2017</v>
      </c>
      <c r="B363" s="0" t="s">
        <v>177</v>
      </c>
      <c r="C363" s="0" t="s">
        <v>178</v>
      </c>
      <c r="D363" s="0" t="s">
        <v>73</v>
      </c>
      <c r="E363" s="0" t="n">
        <v>1021</v>
      </c>
    </row>
    <row r="364" customFormat="false" ht="15" hidden="false" customHeight="false" outlineLevel="0" collapsed="false">
      <c r="A364" s="0" t="n">
        <v>2018</v>
      </c>
      <c r="B364" s="0" t="s">
        <v>177</v>
      </c>
      <c r="C364" s="0" t="s">
        <v>178</v>
      </c>
      <c r="D364" s="0" t="s">
        <v>73</v>
      </c>
      <c r="E364" s="0" t="n">
        <v>1010</v>
      </c>
    </row>
    <row r="365" customFormat="false" ht="15" hidden="false" customHeight="false" outlineLevel="0" collapsed="false">
      <c r="A365" s="0" t="n">
        <v>2019</v>
      </c>
      <c r="B365" s="0" t="s">
        <v>177</v>
      </c>
      <c r="C365" s="0" t="s">
        <v>178</v>
      </c>
      <c r="D365" s="0" t="s">
        <v>73</v>
      </c>
      <c r="E365" s="0" t="n">
        <v>998</v>
      </c>
    </row>
    <row r="366" customFormat="false" ht="15" hidden="false" customHeight="false" outlineLevel="0" collapsed="false">
      <c r="A366" s="0" t="n">
        <v>2020</v>
      </c>
      <c r="B366" s="0" t="s">
        <v>177</v>
      </c>
      <c r="C366" s="0" t="s">
        <v>178</v>
      </c>
      <c r="D366" s="0" t="s">
        <v>73</v>
      </c>
      <c r="E366" s="0" t="n">
        <v>995</v>
      </c>
    </row>
    <row r="367" customFormat="false" ht="15" hidden="false" customHeight="false" outlineLevel="0" collapsed="false">
      <c r="A367" s="0" t="n">
        <v>2021</v>
      </c>
      <c r="B367" s="0" t="s">
        <v>177</v>
      </c>
      <c r="C367" s="0" t="s">
        <v>178</v>
      </c>
      <c r="D367" s="0" t="s">
        <v>73</v>
      </c>
      <c r="E367" s="0" t="n">
        <v>932</v>
      </c>
    </row>
    <row r="368" customFormat="false" ht="15" hidden="false" customHeight="false" outlineLevel="0" collapsed="false">
      <c r="A368" s="0" t="n">
        <v>2022</v>
      </c>
      <c r="B368" s="0" t="s">
        <v>177</v>
      </c>
      <c r="C368" s="0" t="s">
        <v>178</v>
      </c>
      <c r="D368" s="0" t="s">
        <v>73</v>
      </c>
      <c r="E368" s="0" t="n">
        <v>898</v>
      </c>
    </row>
    <row r="369" customFormat="false" ht="15" hidden="false" customHeight="false" outlineLevel="0" collapsed="false">
      <c r="A369" s="0" t="n">
        <v>2023</v>
      </c>
      <c r="B369" s="0" t="s">
        <v>177</v>
      </c>
      <c r="C369" s="0" t="s">
        <v>178</v>
      </c>
      <c r="D369" s="0" t="s">
        <v>73</v>
      </c>
      <c r="E369" s="0" t="n">
        <v>838</v>
      </c>
    </row>
    <row r="370" customFormat="false" ht="15" hidden="false" customHeight="false" outlineLevel="0" collapsed="false">
      <c r="A370" s="0" t="n">
        <v>2024</v>
      </c>
      <c r="B370" s="0" t="s">
        <v>177</v>
      </c>
      <c r="C370" s="0" t="s">
        <v>178</v>
      </c>
      <c r="D370" s="0" t="s">
        <v>73</v>
      </c>
      <c r="E370" s="0" t="n">
        <v>753</v>
      </c>
    </row>
    <row r="371" customFormat="false" ht="15" hidden="false" customHeight="false" outlineLevel="0" collapsed="false">
      <c r="A371" s="0" t="n">
        <v>2025</v>
      </c>
      <c r="B371" s="0" t="s">
        <v>177</v>
      </c>
      <c r="C371" s="0" t="s">
        <v>178</v>
      </c>
      <c r="D371" s="0" t="s">
        <v>73</v>
      </c>
      <c r="E371" s="0" t="n">
        <v>744</v>
      </c>
    </row>
    <row r="372" customFormat="false" ht="15" hidden="false" customHeight="false" outlineLevel="0" collapsed="false">
      <c r="A372" s="0" t="n">
        <v>2016</v>
      </c>
      <c r="B372" s="0" t="s">
        <v>180</v>
      </c>
      <c r="C372" s="0" t="s">
        <v>181</v>
      </c>
      <c r="D372" s="0" t="s">
        <v>72</v>
      </c>
      <c r="E372" s="0" t="n">
        <v>2431</v>
      </c>
    </row>
    <row r="373" customFormat="false" ht="15" hidden="false" customHeight="false" outlineLevel="0" collapsed="false">
      <c r="A373" s="0" t="n">
        <v>2017</v>
      </c>
      <c r="B373" s="0" t="s">
        <v>180</v>
      </c>
      <c r="C373" s="0" t="s">
        <v>181</v>
      </c>
      <c r="D373" s="0" t="s">
        <v>72</v>
      </c>
      <c r="E373" s="0" t="n">
        <v>2330</v>
      </c>
    </row>
    <row r="374" customFormat="false" ht="15" hidden="false" customHeight="false" outlineLevel="0" collapsed="false">
      <c r="A374" s="0" t="n">
        <v>2018</v>
      </c>
      <c r="B374" s="0" t="s">
        <v>180</v>
      </c>
      <c r="C374" s="0" t="s">
        <v>181</v>
      </c>
      <c r="D374" s="0" t="s">
        <v>72</v>
      </c>
      <c r="E374" s="0" t="n">
        <v>2233</v>
      </c>
    </row>
    <row r="375" customFormat="false" ht="15" hidden="false" customHeight="false" outlineLevel="0" collapsed="false">
      <c r="A375" s="0" t="n">
        <v>2019</v>
      </c>
      <c r="B375" s="0" t="s">
        <v>180</v>
      </c>
      <c r="C375" s="0" t="s">
        <v>181</v>
      </c>
      <c r="D375" s="0" t="s">
        <v>72</v>
      </c>
      <c r="E375" s="0" t="n">
        <v>2166</v>
      </c>
    </row>
    <row r="376" customFormat="false" ht="15" hidden="false" customHeight="false" outlineLevel="0" collapsed="false">
      <c r="A376" s="0" t="n">
        <v>2020</v>
      </c>
      <c r="B376" s="0" t="s">
        <v>180</v>
      </c>
      <c r="C376" s="0" t="s">
        <v>181</v>
      </c>
      <c r="D376" s="0" t="s">
        <v>72</v>
      </c>
      <c r="E376" s="0" t="n">
        <v>2115</v>
      </c>
    </row>
    <row r="377" customFormat="false" ht="15" hidden="false" customHeight="false" outlineLevel="0" collapsed="false">
      <c r="A377" s="0" t="n">
        <v>2021</v>
      </c>
      <c r="B377" s="0" t="s">
        <v>180</v>
      </c>
      <c r="C377" s="0" t="s">
        <v>181</v>
      </c>
      <c r="D377" s="0" t="s">
        <v>72</v>
      </c>
      <c r="E377" s="0" t="n">
        <v>2075</v>
      </c>
    </row>
    <row r="378" customFormat="false" ht="15" hidden="false" customHeight="false" outlineLevel="0" collapsed="false">
      <c r="A378" s="0" t="n">
        <v>2022</v>
      </c>
      <c r="B378" s="0" t="s">
        <v>180</v>
      </c>
      <c r="C378" s="0" t="s">
        <v>181</v>
      </c>
      <c r="D378" s="0" t="s">
        <v>72</v>
      </c>
      <c r="E378" s="0" t="n">
        <v>2060</v>
      </c>
    </row>
    <row r="379" customFormat="false" ht="15" hidden="false" customHeight="false" outlineLevel="0" collapsed="false">
      <c r="A379" s="0" t="n">
        <v>2023</v>
      </c>
      <c r="B379" s="0" t="s">
        <v>180</v>
      </c>
      <c r="C379" s="0" t="s">
        <v>181</v>
      </c>
      <c r="D379" s="0" t="s">
        <v>72</v>
      </c>
      <c r="E379" s="0" t="n">
        <v>2052</v>
      </c>
    </row>
    <row r="380" customFormat="false" ht="15" hidden="false" customHeight="false" outlineLevel="0" collapsed="false">
      <c r="A380" s="0" t="n">
        <v>2024</v>
      </c>
      <c r="B380" s="0" t="s">
        <v>180</v>
      </c>
      <c r="C380" s="0" t="s">
        <v>181</v>
      </c>
      <c r="D380" s="0" t="s">
        <v>72</v>
      </c>
      <c r="E380" s="0" t="n">
        <v>2070</v>
      </c>
    </row>
    <row r="381" customFormat="false" ht="15" hidden="false" customHeight="false" outlineLevel="0" collapsed="false">
      <c r="A381" s="0" t="n">
        <v>2025</v>
      </c>
      <c r="B381" s="0" t="s">
        <v>180</v>
      </c>
      <c r="C381" s="0" t="s">
        <v>181</v>
      </c>
      <c r="D381" s="0" t="s">
        <v>72</v>
      </c>
      <c r="E381" s="0" t="n">
        <v>2074</v>
      </c>
    </row>
    <row r="382" customFormat="false" ht="15" hidden="false" customHeight="false" outlineLevel="0" collapsed="false">
      <c r="A382" s="0" t="n">
        <v>2016</v>
      </c>
      <c r="B382" s="0" t="s">
        <v>183</v>
      </c>
      <c r="C382" s="0" t="s">
        <v>184</v>
      </c>
      <c r="D382" s="0" t="s">
        <v>72</v>
      </c>
      <c r="E382" s="0" t="n">
        <v>1133</v>
      </c>
    </row>
    <row r="383" customFormat="false" ht="15" hidden="false" customHeight="false" outlineLevel="0" collapsed="false">
      <c r="A383" s="0" t="n">
        <v>2017</v>
      </c>
      <c r="B383" s="0" t="s">
        <v>183</v>
      </c>
      <c r="C383" s="0" t="s">
        <v>184</v>
      </c>
      <c r="D383" s="0" t="s">
        <v>72</v>
      </c>
      <c r="E383" s="0" t="n">
        <v>1112</v>
      </c>
    </row>
    <row r="384" customFormat="false" ht="15" hidden="false" customHeight="false" outlineLevel="0" collapsed="false">
      <c r="A384" s="0" t="n">
        <v>2018</v>
      </c>
      <c r="B384" s="0" t="s">
        <v>183</v>
      </c>
      <c r="C384" s="0" t="s">
        <v>184</v>
      </c>
      <c r="D384" s="0" t="s">
        <v>72</v>
      </c>
      <c r="E384" s="0" t="n">
        <v>1100</v>
      </c>
    </row>
    <row r="385" customFormat="false" ht="15" hidden="false" customHeight="false" outlineLevel="0" collapsed="false">
      <c r="A385" s="0" t="n">
        <v>2019</v>
      </c>
      <c r="B385" s="0" t="s">
        <v>183</v>
      </c>
      <c r="C385" s="0" t="s">
        <v>184</v>
      </c>
      <c r="D385" s="0" t="s">
        <v>72</v>
      </c>
      <c r="E385" s="0" t="n">
        <v>1073</v>
      </c>
    </row>
    <row r="386" customFormat="false" ht="15" hidden="false" customHeight="false" outlineLevel="0" collapsed="false">
      <c r="A386" s="0" t="n">
        <v>2020</v>
      </c>
      <c r="B386" s="0" t="s">
        <v>183</v>
      </c>
      <c r="C386" s="0" t="s">
        <v>184</v>
      </c>
      <c r="D386" s="0" t="s">
        <v>72</v>
      </c>
      <c r="E386" s="0" t="n">
        <v>1042</v>
      </c>
    </row>
    <row r="387" customFormat="false" ht="15" hidden="false" customHeight="false" outlineLevel="0" collapsed="false">
      <c r="A387" s="0" t="n">
        <v>2021</v>
      </c>
      <c r="B387" s="0" t="s">
        <v>183</v>
      </c>
      <c r="C387" s="0" t="s">
        <v>184</v>
      </c>
      <c r="D387" s="0" t="s">
        <v>72</v>
      </c>
      <c r="E387" s="0" t="n">
        <v>1050</v>
      </c>
    </row>
    <row r="388" customFormat="false" ht="15" hidden="false" customHeight="false" outlineLevel="0" collapsed="false">
      <c r="A388" s="0" t="n">
        <v>2022</v>
      </c>
      <c r="B388" s="0" t="s">
        <v>183</v>
      </c>
      <c r="C388" s="0" t="s">
        <v>184</v>
      </c>
      <c r="D388" s="0" t="s">
        <v>72</v>
      </c>
      <c r="E388" s="0" t="n">
        <v>1096</v>
      </c>
    </row>
    <row r="389" customFormat="false" ht="15" hidden="false" customHeight="false" outlineLevel="0" collapsed="false">
      <c r="A389" s="0" t="n">
        <v>2023</v>
      </c>
      <c r="B389" s="0" t="s">
        <v>183</v>
      </c>
      <c r="C389" s="0" t="s">
        <v>184</v>
      </c>
      <c r="D389" s="0" t="s">
        <v>72</v>
      </c>
      <c r="E389" s="0" t="n">
        <v>1096</v>
      </c>
    </row>
    <row r="390" customFormat="false" ht="15" hidden="false" customHeight="false" outlineLevel="0" collapsed="false">
      <c r="A390" s="0" t="n">
        <v>2024</v>
      </c>
      <c r="B390" s="0" t="s">
        <v>183</v>
      </c>
      <c r="C390" s="0" t="s">
        <v>184</v>
      </c>
      <c r="D390" s="0" t="s">
        <v>72</v>
      </c>
      <c r="E390" s="0" t="n">
        <v>985</v>
      </c>
    </row>
    <row r="391" customFormat="false" ht="15" hidden="false" customHeight="false" outlineLevel="0" collapsed="false">
      <c r="A391" s="0" t="n">
        <v>2025</v>
      </c>
      <c r="B391" s="0" t="s">
        <v>183</v>
      </c>
      <c r="C391" s="0" t="s">
        <v>184</v>
      </c>
      <c r="D391" s="0" t="s">
        <v>72</v>
      </c>
      <c r="E391" s="0" t="n">
        <v>1010</v>
      </c>
    </row>
    <row r="392" customFormat="false" ht="15" hidden="false" customHeight="false" outlineLevel="0" collapsed="false">
      <c r="A392" s="0" t="n">
        <v>2016</v>
      </c>
      <c r="B392" s="0" t="s">
        <v>186</v>
      </c>
      <c r="C392" s="0" t="s">
        <v>187</v>
      </c>
      <c r="D392" s="0" t="s">
        <v>73</v>
      </c>
      <c r="E392" s="0" t="n">
        <v>2403</v>
      </c>
    </row>
    <row r="393" customFormat="false" ht="15" hidden="false" customHeight="false" outlineLevel="0" collapsed="false">
      <c r="A393" s="0" t="n">
        <v>2017</v>
      </c>
      <c r="B393" s="0" t="s">
        <v>186</v>
      </c>
      <c r="C393" s="0" t="s">
        <v>187</v>
      </c>
      <c r="D393" s="0" t="s">
        <v>73</v>
      </c>
      <c r="E393" s="0" t="n">
        <v>2278</v>
      </c>
    </row>
    <row r="394" customFormat="false" ht="15" hidden="false" customHeight="false" outlineLevel="0" collapsed="false">
      <c r="A394" s="0" t="n">
        <v>2018</v>
      </c>
      <c r="B394" s="0" t="s">
        <v>186</v>
      </c>
      <c r="C394" s="0" t="s">
        <v>187</v>
      </c>
      <c r="D394" s="0" t="s">
        <v>73</v>
      </c>
      <c r="E394" s="0" t="n">
        <v>2226</v>
      </c>
    </row>
    <row r="395" customFormat="false" ht="15" hidden="false" customHeight="false" outlineLevel="0" collapsed="false">
      <c r="A395" s="0" t="n">
        <v>2019</v>
      </c>
      <c r="B395" s="0" t="s">
        <v>186</v>
      </c>
      <c r="C395" s="0" t="s">
        <v>187</v>
      </c>
      <c r="D395" s="0" t="s">
        <v>73</v>
      </c>
      <c r="E395" s="0" t="n">
        <v>2191</v>
      </c>
    </row>
    <row r="396" customFormat="false" ht="15" hidden="false" customHeight="false" outlineLevel="0" collapsed="false">
      <c r="A396" s="0" t="n">
        <v>2020</v>
      </c>
      <c r="B396" s="0" t="s">
        <v>186</v>
      </c>
      <c r="C396" s="0" t="s">
        <v>187</v>
      </c>
      <c r="D396" s="0" t="s">
        <v>73</v>
      </c>
      <c r="E396" s="0" t="n">
        <v>2156</v>
      </c>
    </row>
    <row r="397" customFormat="false" ht="15" hidden="false" customHeight="false" outlineLevel="0" collapsed="false">
      <c r="A397" s="0" t="n">
        <v>2021</v>
      </c>
      <c r="B397" s="0" t="s">
        <v>186</v>
      </c>
      <c r="C397" s="0" t="s">
        <v>187</v>
      </c>
      <c r="D397" s="0" t="s">
        <v>73</v>
      </c>
      <c r="E397" s="0" t="n">
        <v>2137</v>
      </c>
    </row>
    <row r="398" customFormat="false" ht="15" hidden="false" customHeight="false" outlineLevel="0" collapsed="false">
      <c r="A398" s="0" t="n">
        <v>2022</v>
      </c>
      <c r="B398" s="0" t="s">
        <v>186</v>
      </c>
      <c r="C398" s="0" t="s">
        <v>187</v>
      </c>
      <c r="D398" s="0" t="s">
        <v>73</v>
      </c>
      <c r="E398" s="0" t="n">
        <v>2115</v>
      </c>
    </row>
    <row r="399" customFormat="false" ht="15" hidden="false" customHeight="false" outlineLevel="0" collapsed="false">
      <c r="A399" s="0" t="n">
        <v>2023</v>
      </c>
      <c r="B399" s="0" t="s">
        <v>186</v>
      </c>
      <c r="C399" s="0" t="s">
        <v>187</v>
      </c>
      <c r="D399" s="0" t="s">
        <v>73</v>
      </c>
      <c r="E399" s="0" t="n">
        <v>2108</v>
      </c>
    </row>
    <row r="400" customFormat="false" ht="15" hidden="false" customHeight="false" outlineLevel="0" collapsed="false">
      <c r="A400" s="0" t="n">
        <v>2024</v>
      </c>
      <c r="B400" s="0" t="s">
        <v>186</v>
      </c>
      <c r="C400" s="0" t="s">
        <v>187</v>
      </c>
      <c r="D400" s="0" t="s">
        <v>73</v>
      </c>
      <c r="E400" s="0" t="n">
        <v>2121</v>
      </c>
    </row>
    <row r="401" customFormat="false" ht="15" hidden="false" customHeight="false" outlineLevel="0" collapsed="false">
      <c r="A401" s="0" t="n">
        <v>2025</v>
      </c>
      <c r="B401" s="0" t="s">
        <v>186</v>
      </c>
      <c r="C401" s="0" t="s">
        <v>187</v>
      </c>
      <c r="D401" s="0" t="s">
        <v>73</v>
      </c>
      <c r="E401" s="0" t="n">
        <v>2102</v>
      </c>
    </row>
    <row r="402" customFormat="false" ht="15" hidden="false" customHeight="false" outlineLevel="0" collapsed="false">
      <c r="A402" s="0" t="n">
        <v>2016</v>
      </c>
      <c r="B402" s="0" t="s">
        <v>188</v>
      </c>
      <c r="C402" s="0" t="s">
        <v>189</v>
      </c>
      <c r="D402" s="0" t="s">
        <v>72</v>
      </c>
      <c r="E402" s="0" t="n">
        <v>2361</v>
      </c>
    </row>
    <row r="403" customFormat="false" ht="15" hidden="false" customHeight="false" outlineLevel="0" collapsed="false">
      <c r="A403" s="0" t="n">
        <v>2017</v>
      </c>
      <c r="B403" s="0" t="s">
        <v>188</v>
      </c>
      <c r="C403" s="0" t="s">
        <v>189</v>
      </c>
      <c r="D403" s="0" t="s">
        <v>72</v>
      </c>
      <c r="E403" s="0" t="n">
        <v>2338</v>
      </c>
    </row>
    <row r="404" customFormat="false" ht="15" hidden="false" customHeight="false" outlineLevel="0" collapsed="false">
      <c r="A404" s="0" t="n">
        <v>2018</v>
      </c>
      <c r="B404" s="0" t="s">
        <v>188</v>
      </c>
      <c r="C404" s="0" t="s">
        <v>189</v>
      </c>
      <c r="D404" s="0" t="s">
        <v>72</v>
      </c>
      <c r="E404" s="0" t="n">
        <v>2318</v>
      </c>
    </row>
    <row r="405" customFormat="false" ht="15" hidden="false" customHeight="false" outlineLevel="0" collapsed="false">
      <c r="A405" s="0" t="n">
        <v>2019</v>
      </c>
      <c r="B405" s="0" t="s">
        <v>188</v>
      </c>
      <c r="C405" s="0" t="s">
        <v>189</v>
      </c>
      <c r="D405" s="0" t="s">
        <v>72</v>
      </c>
      <c r="E405" s="0" t="n">
        <v>2307</v>
      </c>
    </row>
    <row r="406" customFormat="false" ht="15" hidden="false" customHeight="false" outlineLevel="0" collapsed="false">
      <c r="A406" s="0" t="n">
        <v>2020</v>
      </c>
      <c r="B406" s="0" t="s">
        <v>188</v>
      </c>
      <c r="C406" s="0" t="s">
        <v>189</v>
      </c>
      <c r="D406" s="0" t="s">
        <v>72</v>
      </c>
      <c r="E406" s="0" t="n">
        <v>2297</v>
      </c>
    </row>
    <row r="407" customFormat="false" ht="15" hidden="false" customHeight="false" outlineLevel="0" collapsed="false">
      <c r="A407" s="0" t="n">
        <v>2021</v>
      </c>
      <c r="B407" s="0" t="s">
        <v>188</v>
      </c>
      <c r="C407" s="0" t="s">
        <v>189</v>
      </c>
      <c r="D407" s="0" t="s">
        <v>72</v>
      </c>
      <c r="E407" s="0" t="n">
        <v>2292</v>
      </c>
    </row>
    <row r="408" customFormat="false" ht="15" hidden="false" customHeight="false" outlineLevel="0" collapsed="false">
      <c r="A408" s="0" t="n">
        <v>2022</v>
      </c>
      <c r="B408" s="0" t="s">
        <v>188</v>
      </c>
      <c r="C408" s="0" t="s">
        <v>189</v>
      </c>
      <c r="D408" s="0" t="s">
        <v>72</v>
      </c>
      <c r="E408" s="0" t="n">
        <v>2290</v>
      </c>
    </row>
    <row r="409" customFormat="false" ht="15" hidden="false" customHeight="false" outlineLevel="0" collapsed="false">
      <c r="A409" s="0" t="n">
        <v>2023</v>
      </c>
      <c r="B409" s="0" t="s">
        <v>188</v>
      </c>
      <c r="C409" s="0" t="s">
        <v>189</v>
      </c>
      <c r="D409" s="0" t="s">
        <v>72</v>
      </c>
      <c r="E409" s="0" t="n">
        <v>2295</v>
      </c>
    </row>
    <row r="410" customFormat="false" ht="15" hidden="false" customHeight="false" outlineLevel="0" collapsed="false">
      <c r="A410" s="0" t="n">
        <v>2024</v>
      </c>
      <c r="B410" s="0" t="s">
        <v>188</v>
      </c>
      <c r="C410" s="0" t="s">
        <v>189</v>
      </c>
      <c r="D410" s="0" t="s">
        <v>72</v>
      </c>
      <c r="E410" s="0" t="n">
        <v>2293</v>
      </c>
    </row>
    <row r="411" customFormat="false" ht="15" hidden="false" customHeight="false" outlineLevel="0" collapsed="false">
      <c r="A411" s="0" t="n">
        <v>2025</v>
      </c>
      <c r="B411" s="0" t="s">
        <v>188</v>
      </c>
      <c r="C411" s="0" t="s">
        <v>189</v>
      </c>
      <c r="D411" s="0" t="s">
        <v>72</v>
      </c>
      <c r="E411" s="0" t="n">
        <v>2301</v>
      </c>
    </row>
    <row r="412" customFormat="false" ht="15" hidden="false" customHeight="false" outlineLevel="0" collapsed="false">
      <c r="A412" s="0" t="n">
        <v>2016</v>
      </c>
      <c r="B412" s="0" t="s">
        <v>190</v>
      </c>
      <c r="C412" s="0" t="s">
        <v>191</v>
      </c>
      <c r="D412" s="0" t="s">
        <v>74</v>
      </c>
      <c r="E412" s="0" t="n">
        <v>697</v>
      </c>
    </row>
    <row r="413" customFormat="false" ht="15" hidden="false" customHeight="false" outlineLevel="0" collapsed="false">
      <c r="A413" s="0" t="n">
        <v>2017</v>
      </c>
      <c r="B413" s="0" t="s">
        <v>190</v>
      </c>
      <c r="C413" s="0" t="s">
        <v>191</v>
      </c>
      <c r="D413" s="0" t="s">
        <v>74</v>
      </c>
      <c r="E413" s="0" t="n">
        <v>695</v>
      </c>
    </row>
    <row r="414" customFormat="false" ht="15" hidden="false" customHeight="false" outlineLevel="0" collapsed="false">
      <c r="A414" s="0" t="n">
        <v>2018</v>
      </c>
      <c r="B414" s="0" t="s">
        <v>190</v>
      </c>
      <c r="C414" s="0" t="s">
        <v>191</v>
      </c>
      <c r="D414" s="0" t="s">
        <v>74</v>
      </c>
      <c r="E414" s="0" t="n">
        <v>690</v>
      </c>
    </row>
    <row r="415" customFormat="false" ht="15" hidden="false" customHeight="false" outlineLevel="0" collapsed="false">
      <c r="A415" s="0" t="n">
        <v>2019</v>
      </c>
      <c r="B415" s="0" t="s">
        <v>190</v>
      </c>
      <c r="C415" s="0" t="s">
        <v>191</v>
      </c>
      <c r="D415" s="0" t="s">
        <v>74</v>
      </c>
      <c r="E415" s="0" t="n">
        <v>686</v>
      </c>
    </row>
    <row r="416" customFormat="false" ht="15" hidden="false" customHeight="false" outlineLevel="0" collapsed="false">
      <c r="A416" s="0" t="n">
        <v>2020</v>
      </c>
      <c r="B416" s="0" t="s">
        <v>190</v>
      </c>
      <c r="C416" s="0" t="s">
        <v>191</v>
      </c>
      <c r="D416" s="0" t="s">
        <v>74</v>
      </c>
      <c r="E416" s="0" t="n">
        <v>638</v>
      </c>
    </row>
    <row r="417" customFormat="false" ht="15" hidden="false" customHeight="false" outlineLevel="0" collapsed="false">
      <c r="A417" s="0" t="n">
        <v>2021</v>
      </c>
      <c r="B417" s="0" t="s">
        <v>190</v>
      </c>
      <c r="C417" s="0" t="s">
        <v>191</v>
      </c>
      <c r="D417" s="0" t="s">
        <v>74</v>
      </c>
      <c r="E417" s="0" t="n">
        <v>609</v>
      </c>
    </row>
    <row r="418" customFormat="false" ht="15" hidden="false" customHeight="false" outlineLevel="0" collapsed="false">
      <c r="A418" s="0" t="n">
        <v>2022</v>
      </c>
      <c r="B418" s="0" t="s">
        <v>190</v>
      </c>
      <c r="C418" s="0" t="s">
        <v>191</v>
      </c>
      <c r="D418" s="0" t="s">
        <v>74</v>
      </c>
      <c r="E418" s="0" t="n">
        <v>597</v>
      </c>
    </row>
    <row r="419" customFormat="false" ht="15" hidden="false" customHeight="false" outlineLevel="0" collapsed="false">
      <c r="A419" s="0" t="n">
        <v>2023</v>
      </c>
      <c r="B419" s="0" t="s">
        <v>190</v>
      </c>
      <c r="C419" s="0" t="s">
        <v>191</v>
      </c>
      <c r="D419" s="0" t="s">
        <v>74</v>
      </c>
      <c r="E419" s="0" t="n">
        <v>584</v>
      </c>
    </row>
    <row r="420" customFormat="false" ht="15" hidden="false" customHeight="false" outlineLevel="0" collapsed="false">
      <c r="A420" s="0" t="n">
        <v>2024</v>
      </c>
      <c r="B420" s="0" t="s">
        <v>190</v>
      </c>
      <c r="C420" s="0" t="s">
        <v>191</v>
      </c>
      <c r="D420" s="0" t="s">
        <v>74</v>
      </c>
      <c r="E420" s="0" t="n">
        <v>573</v>
      </c>
    </row>
    <row r="421" customFormat="false" ht="15" hidden="false" customHeight="false" outlineLevel="0" collapsed="false">
      <c r="A421" s="0" t="n">
        <v>2025</v>
      </c>
      <c r="B421" s="0" t="s">
        <v>190</v>
      </c>
      <c r="C421" s="0" t="s">
        <v>191</v>
      </c>
      <c r="D421" s="0" t="s">
        <v>74</v>
      </c>
      <c r="E421" s="0" t="n">
        <v>561</v>
      </c>
    </row>
    <row r="422" customFormat="false" ht="15" hidden="false" customHeight="false" outlineLevel="0" collapsed="false">
      <c r="A422" s="0" t="n">
        <v>2016</v>
      </c>
      <c r="B422" s="0" t="s">
        <v>161</v>
      </c>
      <c r="C422" s="0" t="s">
        <v>162</v>
      </c>
      <c r="D422" s="0" t="s">
        <v>74</v>
      </c>
      <c r="E422" s="0" t="n">
        <v>699</v>
      </c>
    </row>
    <row r="423" customFormat="false" ht="15" hidden="false" customHeight="false" outlineLevel="0" collapsed="false">
      <c r="A423" s="0" t="n">
        <v>2017</v>
      </c>
      <c r="B423" s="0" t="s">
        <v>161</v>
      </c>
      <c r="C423" s="0" t="s">
        <v>162</v>
      </c>
      <c r="D423" s="0" t="s">
        <v>74</v>
      </c>
      <c r="E423" s="0" t="n">
        <v>702</v>
      </c>
    </row>
    <row r="424" customFormat="false" ht="15" hidden="false" customHeight="false" outlineLevel="0" collapsed="false">
      <c r="A424" s="0" t="n">
        <v>2018</v>
      </c>
      <c r="B424" s="0" t="s">
        <v>161</v>
      </c>
      <c r="C424" s="0" t="s">
        <v>162</v>
      </c>
      <c r="D424" s="0" t="s">
        <v>74</v>
      </c>
      <c r="E424" s="0" t="n">
        <v>698</v>
      </c>
    </row>
    <row r="425" customFormat="false" ht="15" hidden="false" customHeight="false" outlineLevel="0" collapsed="false">
      <c r="A425" s="0" t="n">
        <v>2019</v>
      </c>
      <c r="B425" s="0" t="s">
        <v>161</v>
      </c>
      <c r="C425" s="0" t="s">
        <v>162</v>
      </c>
      <c r="D425" s="0" t="s">
        <v>74</v>
      </c>
      <c r="E425" s="0" t="n">
        <v>695</v>
      </c>
    </row>
    <row r="426" customFormat="false" ht="15" hidden="false" customHeight="false" outlineLevel="0" collapsed="false">
      <c r="A426" s="0" t="n">
        <v>2020</v>
      </c>
      <c r="B426" s="0" t="s">
        <v>161</v>
      </c>
      <c r="C426" s="0" t="s">
        <v>162</v>
      </c>
      <c r="D426" s="0" t="s">
        <v>74</v>
      </c>
      <c r="E426" s="0" t="n">
        <v>677</v>
      </c>
    </row>
    <row r="427" customFormat="false" ht="15" hidden="false" customHeight="false" outlineLevel="0" collapsed="false">
      <c r="A427" s="0" t="n">
        <v>2021</v>
      </c>
      <c r="B427" s="0" t="s">
        <v>161</v>
      </c>
      <c r="C427" s="0" t="s">
        <v>162</v>
      </c>
      <c r="D427" s="0" t="s">
        <v>74</v>
      </c>
      <c r="E427" s="0" t="n">
        <v>665</v>
      </c>
    </row>
    <row r="428" customFormat="false" ht="15" hidden="false" customHeight="false" outlineLevel="0" collapsed="false">
      <c r="A428" s="0" t="n">
        <v>2022</v>
      </c>
      <c r="B428" s="0" t="s">
        <v>161</v>
      </c>
      <c r="C428" s="0" t="s">
        <v>162</v>
      </c>
      <c r="D428" s="0" t="s">
        <v>74</v>
      </c>
      <c r="E428" s="0" t="n">
        <v>670</v>
      </c>
    </row>
    <row r="429" customFormat="false" ht="15" hidden="false" customHeight="false" outlineLevel="0" collapsed="false">
      <c r="A429" s="0" t="n">
        <v>2023</v>
      </c>
      <c r="B429" s="0" t="s">
        <v>161</v>
      </c>
      <c r="C429" s="0" t="s">
        <v>162</v>
      </c>
      <c r="D429" s="0" t="s">
        <v>74</v>
      </c>
      <c r="E429" s="0" t="n">
        <v>675</v>
      </c>
    </row>
    <row r="430" customFormat="false" ht="15" hidden="false" customHeight="false" outlineLevel="0" collapsed="false">
      <c r="A430" s="0" t="n">
        <v>2024</v>
      </c>
      <c r="B430" s="0" t="s">
        <v>161</v>
      </c>
      <c r="C430" s="0" t="s">
        <v>162</v>
      </c>
      <c r="D430" s="0" t="s">
        <v>74</v>
      </c>
      <c r="E430" s="0" t="n">
        <v>655</v>
      </c>
    </row>
    <row r="431" customFormat="false" ht="15" hidden="false" customHeight="false" outlineLevel="0" collapsed="false">
      <c r="A431" s="0" t="n">
        <v>2025</v>
      </c>
      <c r="B431" s="0" t="s">
        <v>161</v>
      </c>
      <c r="C431" s="0" t="s">
        <v>162</v>
      </c>
      <c r="D431" s="0" t="s">
        <v>74</v>
      </c>
      <c r="E431" s="0" t="n">
        <v>666</v>
      </c>
    </row>
    <row r="432" customFormat="false" ht="15" hidden="false" customHeight="false" outlineLevel="0" collapsed="false">
      <c r="A432" s="0" t="n">
        <v>2016</v>
      </c>
      <c r="B432" s="0" t="s">
        <v>200</v>
      </c>
      <c r="C432" s="0" t="s">
        <v>201</v>
      </c>
      <c r="D432" s="0" t="s">
        <v>72</v>
      </c>
      <c r="E432" s="0" t="n">
        <v>1252</v>
      </c>
    </row>
    <row r="433" customFormat="false" ht="15" hidden="false" customHeight="false" outlineLevel="0" collapsed="false">
      <c r="A433" s="0" t="n">
        <v>2017</v>
      </c>
      <c r="B433" s="0" t="s">
        <v>200</v>
      </c>
      <c r="C433" s="0" t="s">
        <v>201</v>
      </c>
      <c r="D433" s="0" t="s">
        <v>72</v>
      </c>
      <c r="E433" s="0" t="n">
        <v>1245</v>
      </c>
    </row>
    <row r="434" customFormat="false" ht="15" hidden="false" customHeight="false" outlineLevel="0" collapsed="false">
      <c r="A434" s="0" t="n">
        <v>2018</v>
      </c>
      <c r="B434" s="0" t="s">
        <v>200</v>
      </c>
      <c r="C434" s="0" t="s">
        <v>201</v>
      </c>
      <c r="D434" s="0" t="s">
        <v>72</v>
      </c>
      <c r="E434" s="0" t="n">
        <v>1248</v>
      </c>
    </row>
    <row r="435" customFormat="false" ht="15" hidden="false" customHeight="false" outlineLevel="0" collapsed="false">
      <c r="A435" s="0" t="n">
        <v>2019</v>
      </c>
      <c r="B435" s="0" t="s">
        <v>200</v>
      </c>
      <c r="C435" s="0" t="s">
        <v>201</v>
      </c>
      <c r="D435" s="0" t="s">
        <v>72</v>
      </c>
      <c r="E435" s="0" t="n">
        <v>1248</v>
      </c>
    </row>
    <row r="436" customFormat="false" ht="15" hidden="false" customHeight="false" outlineLevel="0" collapsed="false">
      <c r="A436" s="0" t="n">
        <v>2020</v>
      </c>
      <c r="B436" s="0" t="s">
        <v>200</v>
      </c>
      <c r="C436" s="0" t="s">
        <v>201</v>
      </c>
      <c r="D436" s="0" t="s">
        <v>72</v>
      </c>
      <c r="E436" s="0" t="n">
        <v>1218</v>
      </c>
    </row>
    <row r="437" customFormat="false" ht="15" hidden="false" customHeight="false" outlineLevel="0" collapsed="false">
      <c r="A437" s="0" t="n">
        <v>2021</v>
      </c>
      <c r="B437" s="0" t="s">
        <v>200</v>
      </c>
      <c r="C437" s="0" t="s">
        <v>201</v>
      </c>
      <c r="D437" s="0" t="s">
        <v>72</v>
      </c>
      <c r="E437" s="0" t="n">
        <v>1217</v>
      </c>
    </row>
    <row r="438" customFormat="false" ht="15" hidden="false" customHeight="false" outlineLevel="0" collapsed="false">
      <c r="A438" s="0" t="n">
        <v>2022</v>
      </c>
      <c r="B438" s="0" t="s">
        <v>200</v>
      </c>
      <c r="C438" s="0" t="s">
        <v>201</v>
      </c>
      <c r="D438" s="0" t="s">
        <v>72</v>
      </c>
      <c r="E438" s="0" t="n">
        <v>1223</v>
      </c>
    </row>
    <row r="439" customFormat="false" ht="15" hidden="false" customHeight="false" outlineLevel="0" collapsed="false">
      <c r="A439" s="0" t="n">
        <v>2023</v>
      </c>
      <c r="B439" s="0" t="s">
        <v>200</v>
      </c>
      <c r="C439" s="0" t="s">
        <v>201</v>
      </c>
      <c r="D439" s="0" t="s">
        <v>72</v>
      </c>
      <c r="E439" s="0" t="n">
        <v>1232</v>
      </c>
    </row>
    <row r="440" customFormat="false" ht="15" hidden="false" customHeight="false" outlineLevel="0" collapsed="false">
      <c r="A440" s="0" t="n">
        <v>2024</v>
      </c>
      <c r="B440" s="0" t="s">
        <v>200</v>
      </c>
      <c r="C440" s="0" t="s">
        <v>201</v>
      </c>
      <c r="D440" s="0" t="s">
        <v>72</v>
      </c>
      <c r="E440" s="0" t="n">
        <v>1247</v>
      </c>
    </row>
    <row r="441" customFormat="false" ht="15" hidden="false" customHeight="false" outlineLevel="0" collapsed="false">
      <c r="A441" s="0" t="n">
        <v>2025</v>
      </c>
      <c r="B441" s="0" t="s">
        <v>200</v>
      </c>
      <c r="C441" s="0" t="s">
        <v>201</v>
      </c>
      <c r="D441" s="0" t="s">
        <v>72</v>
      </c>
      <c r="E441" s="0" t="n">
        <v>1277</v>
      </c>
    </row>
    <row r="442" customFormat="false" ht="15" hidden="false" customHeight="false" outlineLevel="0" collapsed="false">
      <c r="A442" s="0" t="n">
        <v>2016</v>
      </c>
      <c r="B442" s="0" t="s">
        <v>198</v>
      </c>
      <c r="C442" s="0" t="s">
        <v>199</v>
      </c>
      <c r="D442" s="0" t="s">
        <v>74</v>
      </c>
      <c r="E442" s="0" t="n">
        <v>747</v>
      </c>
    </row>
    <row r="443" customFormat="false" ht="15" hidden="false" customHeight="false" outlineLevel="0" collapsed="false">
      <c r="A443" s="0" t="n">
        <v>2017</v>
      </c>
      <c r="B443" s="0" t="s">
        <v>198</v>
      </c>
      <c r="C443" s="0" t="s">
        <v>199</v>
      </c>
      <c r="D443" s="0" t="s">
        <v>74</v>
      </c>
      <c r="E443" s="0" t="n">
        <v>737</v>
      </c>
    </row>
    <row r="444" customFormat="false" ht="15" hidden="false" customHeight="false" outlineLevel="0" collapsed="false">
      <c r="A444" s="0" t="n">
        <v>2018</v>
      </c>
      <c r="B444" s="0" t="s">
        <v>198</v>
      </c>
      <c r="C444" s="0" t="s">
        <v>199</v>
      </c>
      <c r="D444" s="0" t="s">
        <v>74</v>
      </c>
      <c r="E444" s="0" t="n">
        <v>736</v>
      </c>
    </row>
    <row r="445" customFormat="false" ht="15" hidden="false" customHeight="false" outlineLevel="0" collapsed="false">
      <c r="A445" s="0" t="n">
        <v>2019</v>
      </c>
      <c r="B445" s="0" t="s">
        <v>198</v>
      </c>
      <c r="C445" s="0" t="s">
        <v>199</v>
      </c>
      <c r="D445" s="0" t="s">
        <v>74</v>
      </c>
      <c r="E445" s="0" t="n">
        <v>719</v>
      </c>
    </row>
    <row r="446" customFormat="false" ht="15" hidden="false" customHeight="false" outlineLevel="0" collapsed="false">
      <c r="A446" s="0" t="n">
        <v>2020</v>
      </c>
      <c r="B446" s="0" t="s">
        <v>198</v>
      </c>
      <c r="C446" s="0" t="s">
        <v>199</v>
      </c>
      <c r="D446" s="0" t="s">
        <v>74</v>
      </c>
      <c r="E446" s="0" t="n">
        <v>704</v>
      </c>
    </row>
    <row r="447" customFormat="false" ht="15" hidden="false" customHeight="false" outlineLevel="0" collapsed="false">
      <c r="A447" s="0" t="n">
        <v>2021</v>
      </c>
      <c r="B447" s="0" t="s">
        <v>198</v>
      </c>
      <c r="C447" s="0" t="s">
        <v>199</v>
      </c>
      <c r="D447" s="0" t="s">
        <v>74</v>
      </c>
      <c r="E447" s="0" t="n">
        <v>674</v>
      </c>
    </row>
    <row r="448" customFormat="false" ht="15" hidden="false" customHeight="false" outlineLevel="0" collapsed="false">
      <c r="A448" s="0" t="n">
        <v>2022</v>
      </c>
      <c r="B448" s="0" t="s">
        <v>198</v>
      </c>
      <c r="C448" s="0" t="s">
        <v>199</v>
      </c>
      <c r="D448" s="0" t="s">
        <v>74</v>
      </c>
      <c r="E448" s="0" t="n">
        <v>699</v>
      </c>
    </row>
    <row r="449" customFormat="false" ht="15" hidden="false" customHeight="false" outlineLevel="0" collapsed="false">
      <c r="A449" s="0" t="n">
        <v>2023</v>
      </c>
      <c r="B449" s="0" t="s">
        <v>198</v>
      </c>
      <c r="C449" s="0" t="s">
        <v>199</v>
      </c>
      <c r="D449" s="0" t="s">
        <v>74</v>
      </c>
      <c r="E449" s="0" t="n">
        <v>713</v>
      </c>
    </row>
    <row r="450" customFormat="false" ht="15" hidden="false" customHeight="false" outlineLevel="0" collapsed="false">
      <c r="A450" s="0" t="n">
        <v>2024</v>
      </c>
      <c r="B450" s="0" t="s">
        <v>198</v>
      </c>
      <c r="C450" s="0" t="s">
        <v>199</v>
      </c>
      <c r="D450" s="0" t="s">
        <v>74</v>
      </c>
      <c r="E450" s="0" t="n">
        <v>747</v>
      </c>
    </row>
    <row r="451" customFormat="false" ht="15" hidden="false" customHeight="false" outlineLevel="0" collapsed="false">
      <c r="A451" s="0" t="n">
        <v>2025</v>
      </c>
      <c r="B451" s="0" t="s">
        <v>198</v>
      </c>
      <c r="C451" s="0" t="s">
        <v>199</v>
      </c>
      <c r="D451" s="0" t="s">
        <v>74</v>
      </c>
      <c r="E451" s="0" t="n">
        <v>761</v>
      </c>
    </row>
    <row r="452" customFormat="false" ht="15" hidden="false" customHeight="false" outlineLevel="0" collapsed="false">
      <c r="A452" s="0" t="n">
        <v>2016</v>
      </c>
      <c r="B452" s="0" t="s">
        <v>202</v>
      </c>
      <c r="C452" s="0" t="s">
        <v>203</v>
      </c>
      <c r="D452" s="0" t="s">
        <v>73</v>
      </c>
      <c r="E452" s="0" t="n">
        <v>2037</v>
      </c>
    </row>
    <row r="453" customFormat="false" ht="15" hidden="false" customHeight="false" outlineLevel="0" collapsed="false">
      <c r="A453" s="0" t="n">
        <v>2017</v>
      </c>
      <c r="B453" s="0" t="s">
        <v>202</v>
      </c>
      <c r="C453" s="0" t="s">
        <v>203</v>
      </c>
      <c r="D453" s="0" t="s">
        <v>73</v>
      </c>
      <c r="E453" s="0" t="n">
        <v>2002</v>
      </c>
    </row>
    <row r="454" customFormat="false" ht="15" hidden="false" customHeight="false" outlineLevel="0" collapsed="false">
      <c r="A454" s="0" t="n">
        <v>2018</v>
      </c>
      <c r="B454" s="0" t="s">
        <v>202</v>
      </c>
      <c r="C454" s="0" t="s">
        <v>203</v>
      </c>
      <c r="D454" s="0" t="s">
        <v>73</v>
      </c>
      <c r="E454" s="0" t="n">
        <v>1980</v>
      </c>
    </row>
    <row r="455" customFormat="false" ht="15" hidden="false" customHeight="false" outlineLevel="0" collapsed="false">
      <c r="A455" s="0" t="n">
        <v>2019</v>
      </c>
      <c r="B455" s="0" t="s">
        <v>202</v>
      </c>
      <c r="C455" s="0" t="s">
        <v>203</v>
      </c>
      <c r="D455" s="0" t="s">
        <v>73</v>
      </c>
      <c r="E455" s="0" t="n">
        <v>1960</v>
      </c>
    </row>
    <row r="456" customFormat="false" ht="15" hidden="false" customHeight="false" outlineLevel="0" collapsed="false">
      <c r="A456" s="0" t="n">
        <v>2020</v>
      </c>
      <c r="B456" s="0" t="s">
        <v>202</v>
      </c>
      <c r="C456" s="0" t="s">
        <v>203</v>
      </c>
      <c r="D456" s="0" t="s">
        <v>73</v>
      </c>
      <c r="E456" s="0" t="n">
        <v>1923</v>
      </c>
    </row>
    <row r="457" customFormat="false" ht="15" hidden="false" customHeight="false" outlineLevel="0" collapsed="false">
      <c r="A457" s="0" t="n">
        <v>2021</v>
      </c>
      <c r="B457" s="0" t="s">
        <v>202</v>
      </c>
      <c r="C457" s="0" t="s">
        <v>203</v>
      </c>
      <c r="D457" s="0" t="s">
        <v>73</v>
      </c>
      <c r="E457" s="0" t="n">
        <v>1921</v>
      </c>
    </row>
    <row r="458" customFormat="false" ht="15" hidden="false" customHeight="false" outlineLevel="0" collapsed="false">
      <c r="A458" s="0" t="n">
        <v>2022</v>
      </c>
      <c r="B458" s="0" t="s">
        <v>202</v>
      </c>
      <c r="C458" s="0" t="s">
        <v>203</v>
      </c>
      <c r="D458" s="0" t="s">
        <v>73</v>
      </c>
      <c r="E458" s="0" t="n">
        <v>1934</v>
      </c>
    </row>
    <row r="459" customFormat="false" ht="15" hidden="false" customHeight="false" outlineLevel="0" collapsed="false">
      <c r="A459" s="0" t="n">
        <v>2023</v>
      </c>
      <c r="B459" s="0" t="s">
        <v>202</v>
      </c>
      <c r="C459" s="0" t="s">
        <v>203</v>
      </c>
      <c r="D459" s="0" t="s">
        <v>73</v>
      </c>
      <c r="E459" s="0" t="n">
        <v>1934</v>
      </c>
    </row>
    <row r="460" customFormat="false" ht="15" hidden="false" customHeight="false" outlineLevel="0" collapsed="false">
      <c r="A460" s="0" t="n">
        <v>2024</v>
      </c>
      <c r="B460" s="0" t="s">
        <v>202</v>
      </c>
      <c r="C460" s="0" t="s">
        <v>203</v>
      </c>
      <c r="D460" s="0" t="s">
        <v>73</v>
      </c>
      <c r="E460" s="0" t="n">
        <v>1975</v>
      </c>
    </row>
    <row r="461" customFormat="false" ht="15" hidden="false" customHeight="false" outlineLevel="0" collapsed="false">
      <c r="A461" s="0" t="n">
        <v>2025</v>
      </c>
      <c r="B461" s="0" t="s">
        <v>202</v>
      </c>
      <c r="C461" s="0" t="s">
        <v>203</v>
      </c>
      <c r="D461" s="0" t="s">
        <v>73</v>
      </c>
      <c r="E461" s="0" t="n">
        <v>1987</v>
      </c>
    </row>
    <row r="462" customFormat="false" ht="15" hidden="false" customHeight="false" outlineLevel="0" collapsed="false">
      <c r="A462" s="0" t="n">
        <v>2016</v>
      </c>
      <c r="B462" s="0" t="s">
        <v>204</v>
      </c>
      <c r="C462" s="0" t="s">
        <v>205</v>
      </c>
      <c r="D462" s="0" t="s">
        <v>72</v>
      </c>
      <c r="E462" s="0" t="n">
        <v>1115</v>
      </c>
    </row>
    <row r="463" customFormat="false" ht="15" hidden="false" customHeight="false" outlineLevel="0" collapsed="false">
      <c r="A463" s="0" t="n">
        <v>2017</v>
      </c>
      <c r="B463" s="0" t="s">
        <v>204</v>
      </c>
      <c r="C463" s="0" t="s">
        <v>205</v>
      </c>
      <c r="D463" s="0" t="s">
        <v>72</v>
      </c>
      <c r="E463" s="0" t="n">
        <v>1141</v>
      </c>
    </row>
    <row r="464" customFormat="false" ht="15" hidden="false" customHeight="false" outlineLevel="0" collapsed="false">
      <c r="A464" s="0" t="n">
        <v>2018</v>
      </c>
      <c r="B464" s="0" t="s">
        <v>204</v>
      </c>
      <c r="C464" s="0" t="s">
        <v>205</v>
      </c>
      <c r="D464" s="0" t="s">
        <v>72</v>
      </c>
      <c r="E464" s="0" t="n">
        <v>1177</v>
      </c>
    </row>
    <row r="465" customFormat="false" ht="15" hidden="false" customHeight="false" outlineLevel="0" collapsed="false">
      <c r="A465" s="0" t="n">
        <v>2019</v>
      </c>
      <c r="B465" s="0" t="s">
        <v>204</v>
      </c>
      <c r="C465" s="0" t="s">
        <v>205</v>
      </c>
      <c r="D465" s="0" t="s">
        <v>72</v>
      </c>
      <c r="E465" s="0" t="n">
        <v>1188</v>
      </c>
    </row>
    <row r="466" customFormat="false" ht="15" hidden="false" customHeight="false" outlineLevel="0" collapsed="false">
      <c r="A466" s="0" t="n">
        <v>2020</v>
      </c>
      <c r="B466" s="0" t="s">
        <v>204</v>
      </c>
      <c r="C466" s="0" t="s">
        <v>205</v>
      </c>
      <c r="D466" s="0" t="s">
        <v>72</v>
      </c>
      <c r="E466" s="0" t="n">
        <v>1190</v>
      </c>
    </row>
    <row r="467" customFormat="false" ht="15" hidden="false" customHeight="false" outlineLevel="0" collapsed="false">
      <c r="A467" s="0" t="n">
        <v>2021</v>
      </c>
      <c r="B467" s="0" t="s">
        <v>204</v>
      </c>
      <c r="C467" s="0" t="s">
        <v>205</v>
      </c>
      <c r="D467" s="0" t="s">
        <v>72</v>
      </c>
      <c r="E467" s="0" t="n">
        <v>1191</v>
      </c>
    </row>
    <row r="468" customFormat="false" ht="15" hidden="false" customHeight="false" outlineLevel="0" collapsed="false">
      <c r="A468" s="0" t="n">
        <v>2022</v>
      </c>
      <c r="B468" s="0" t="s">
        <v>204</v>
      </c>
      <c r="C468" s="0" t="s">
        <v>205</v>
      </c>
      <c r="D468" s="0" t="s">
        <v>72</v>
      </c>
      <c r="E468" s="0" t="n">
        <v>1170</v>
      </c>
    </row>
    <row r="469" customFormat="false" ht="15" hidden="false" customHeight="false" outlineLevel="0" collapsed="false">
      <c r="A469" s="0" t="n">
        <v>2023</v>
      </c>
      <c r="B469" s="0" t="s">
        <v>204</v>
      </c>
      <c r="C469" s="0" t="s">
        <v>205</v>
      </c>
      <c r="D469" s="0" t="s">
        <v>72</v>
      </c>
      <c r="E469" s="0" t="n">
        <v>1141</v>
      </c>
    </row>
    <row r="470" customFormat="false" ht="15" hidden="false" customHeight="false" outlineLevel="0" collapsed="false">
      <c r="A470" s="0" t="n">
        <v>2024</v>
      </c>
      <c r="B470" s="0" t="s">
        <v>204</v>
      </c>
      <c r="C470" s="0" t="s">
        <v>205</v>
      </c>
      <c r="D470" s="0" t="s">
        <v>72</v>
      </c>
      <c r="E470" s="0" t="n">
        <v>1180</v>
      </c>
    </row>
    <row r="471" customFormat="false" ht="15" hidden="false" customHeight="false" outlineLevel="0" collapsed="false">
      <c r="A471" s="0" t="n">
        <v>2025</v>
      </c>
      <c r="B471" s="0" t="s">
        <v>204</v>
      </c>
      <c r="C471" s="0" t="s">
        <v>205</v>
      </c>
      <c r="D471" s="0" t="s">
        <v>72</v>
      </c>
      <c r="E471" s="0" t="n">
        <v>1236</v>
      </c>
    </row>
    <row r="472" customFormat="false" ht="15" hidden="false" customHeight="false" outlineLevel="0" collapsed="false">
      <c r="A472" s="0" t="n">
        <v>2016</v>
      </c>
      <c r="B472" s="0" t="s">
        <v>196</v>
      </c>
      <c r="C472" s="0" t="s">
        <v>197</v>
      </c>
      <c r="D472" s="0" t="s">
        <v>73</v>
      </c>
      <c r="E472" s="0" t="n">
        <v>1488</v>
      </c>
    </row>
    <row r="473" customFormat="false" ht="15" hidden="false" customHeight="false" outlineLevel="0" collapsed="false">
      <c r="A473" s="0" t="n">
        <v>2017</v>
      </c>
      <c r="B473" s="0" t="s">
        <v>196</v>
      </c>
      <c r="C473" s="0" t="s">
        <v>197</v>
      </c>
      <c r="D473" s="0" t="s">
        <v>73</v>
      </c>
      <c r="E473" s="0" t="n">
        <v>1446</v>
      </c>
    </row>
    <row r="474" customFormat="false" ht="15" hidden="false" customHeight="false" outlineLevel="0" collapsed="false">
      <c r="A474" s="0" t="n">
        <v>2018</v>
      </c>
      <c r="B474" s="0" t="s">
        <v>196</v>
      </c>
      <c r="C474" s="0" t="s">
        <v>197</v>
      </c>
      <c r="D474" s="0" t="s">
        <v>73</v>
      </c>
      <c r="E474" s="0" t="n">
        <v>1439</v>
      </c>
    </row>
    <row r="475" customFormat="false" ht="15" hidden="false" customHeight="false" outlineLevel="0" collapsed="false">
      <c r="A475" s="0" t="n">
        <v>2019</v>
      </c>
      <c r="B475" s="0" t="s">
        <v>196</v>
      </c>
      <c r="C475" s="0" t="s">
        <v>197</v>
      </c>
      <c r="D475" s="0" t="s">
        <v>73</v>
      </c>
      <c r="E475" s="0" t="n">
        <v>1435</v>
      </c>
    </row>
    <row r="476" customFormat="false" ht="15" hidden="false" customHeight="false" outlineLevel="0" collapsed="false">
      <c r="A476" s="0" t="n">
        <v>2020</v>
      </c>
      <c r="B476" s="0" t="s">
        <v>196</v>
      </c>
      <c r="C476" s="0" t="s">
        <v>197</v>
      </c>
      <c r="D476" s="0" t="s">
        <v>73</v>
      </c>
      <c r="E476" s="0" t="n">
        <v>1431</v>
      </c>
    </row>
    <row r="477" customFormat="false" ht="15" hidden="false" customHeight="false" outlineLevel="0" collapsed="false">
      <c r="A477" s="0" t="n">
        <v>2021</v>
      </c>
      <c r="B477" s="0" t="s">
        <v>196</v>
      </c>
      <c r="C477" s="0" t="s">
        <v>197</v>
      </c>
      <c r="D477" s="0" t="s">
        <v>73</v>
      </c>
      <c r="E477" s="0" t="n">
        <v>1429</v>
      </c>
    </row>
    <row r="478" customFormat="false" ht="15" hidden="false" customHeight="false" outlineLevel="0" collapsed="false">
      <c r="A478" s="0" t="n">
        <v>2022</v>
      </c>
      <c r="B478" s="0" t="s">
        <v>196</v>
      </c>
      <c r="C478" s="0" t="s">
        <v>197</v>
      </c>
      <c r="D478" s="0" t="s">
        <v>73</v>
      </c>
      <c r="E478" s="0" t="n">
        <v>1432</v>
      </c>
    </row>
    <row r="479" customFormat="false" ht="15" hidden="false" customHeight="false" outlineLevel="0" collapsed="false">
      <c r="A479" s="0" t="n">
        <v>2023</v>
      </c>
      <c r="B479" s="0" t="s">
        <v>196</v>
      </c>
      <c r="C479" s="0" t="s">
        <v>197</v>
      </c>
      <c r="D479" s="0" t="s">
        <v>73</v>
      </c>
      <c r="E479" s="0" t="n">
        <v>1434</v>
      </c>
    </row>
    <row r="480" customFormat="false" ht="15" hidden="false" customHeight="false" outlineLevel="0" collapsed="false">
      <c r="A480" s="0" t="n">
        <v>2024</v>
      </c>
      <c r="B480" s="0" t="s">
        <v>196</v>
      </c>
      <c r="C480" s="0" t="s">
        <v>197</v>
      </c>
      <c r="D480" s="0" t="s">
        <v>73</v>
      </c>
      <c r="E480" s="0" t="n">
        <v>1437</v>
      </c>
    </row>
    <row r="481" customFormat="false" ht="15" hidden="false" customHeight="false" outlineLevel="0" collapsed="false">
      <c r="A481" s="0" t="n">
        <v>2025</v>
      </c>
      <c r="B481" s="0" t="s">
        <v>196</v>
      </c>
      <c r="C481" s="0" t="s">
        <v>197</v>
      </c>
      <c r="D481" s="0" t="s">
        <v>73</v>
      </c>
      <c r="E481" s="0" t="n">
        <v>1436</v>
      </c>
    </row>
    <row r="482" customFormat="false" ht="15" hidden="false" customHeight="false" outlineLevel="0" collapsed="false">
      <c r="A482" s="0" t="n">
        <v>2016</v>
      </c>
      <c r="B482" s="0" t="s">
        <v>206</v>
      </c>
      <c r="C482" s="0" t="s">
        <v>207</v>
      </c>
      <c r="D482" s="0" t="s">
        <v>73</v>
      </c>
      <c r="E482" s="0" t="n">
        <v>2266</v>
      </c>
    </row>
    <row r="483" customFormat="false" ht="15" hidden="false" customHeight="false" outlineLevel="0" collapsed="false">
      <c r="A483" s="0" t="n">
        <v>2017</v>
      </c>
      <c r="B483" s="0" t="s">
        <v>206</v>
      </c>
      <c r="C483" s="0" t="s">
        <v>207</v>
      </c>
      <c r="D483" s="0" t="s">
        <v>73</v>
      </c>
      <c r="E483" s="0" t="n">
        <v>2203</v>
      </c>
    </row>
    <row r="484" customFormat="false" ht="15" hidden="false" customHeight="false" outlineLevel="0" collapsed="false">
      <c r="A484" s="0" t="n">
        <v>2018</v>
      </c>
      <c r="B484" s="0" t="s">
        <v>206</v>
      </c>
      <c r="C484" s="0" t="s">
        <v>207</v>
      </c>
      <c r="D484" s="0" t="s">
        <v>73</v>
      </c>
      <c r="E484" s="0" t="n">
        <v>2058</v>
      </c>
    </row>
    <row r="485" customFormat="false" ht="15" hidden="false" customHeight="false" outlineLevel="0" collapsed="false">
      <c r="A485" s="0" t="n">
        <v>2019</v>
      </c>
      <c r="B485" s="0" t="s">
        <v>206</v>
      </c>
      <c r="C485" s="0" t="s">
        <v>207</v>
      </c>
      <c r="D485" s="0" t="s">
        <v>73</v>
      </c>
      <c r="E485" s="0" t="n">
        <v>2002</v>
      </c>
    </row>
    <row r="486" customFormat="false" ht="15" hidden="false" customHeight="false" outlineLevel="0" collapsed="false">
      <c r="A486" s="0" t="n">
        <v>2020</v>
      </c>
      <c r="B486" s="0" t="s">
        <v>206</v>
      </c>
      <c r="C486" s="0" t="s">
        <v>207</v>
      </c>
      <c r="D486" s="0" t="s">
        <v>73</v>
      </c>
      <c r="E486" s="0" t="n">
        <v>1977</v>
      </c>
    </row>
    <row r="487" customFormat="false" ht="15" hidden="false" customHeight="false" outlineLevel="0" collapsed="false">
      <c r="A487" s="0" t="n">
        <v>2021</v>
      </c>
      <c r="B487" s="0" t="s">
        <v>206</v>
      </c>
      <c r="C487" s="0" t="s">
        <v>207</v>
      </c>
      <c r="D487" s="0" t="s">
        <v>73</v>
      </c>
      <c r="E487" s="0" t="n">
        <v>1917</v>
      </c>
    </row>
    <row r="488" customFormat="false" ht="15" hidden="false" customHeight="false" outlineLevel="0" collapsed="false">
      <c r="A488" s="0" t="n">
        <v>2022</v>
      </c>
      <c r="B488" s="0" t="s">
        <v>206</v>
      </c>
      <c r="C488" s="0" t="s">
        <v>207</v>
      </c>
      <c r="D488" s="0" t="s">
        <v>73</v>
      </c>
      <c r="E488" s="0" t="n">
        <v>1878</v>
      </c>
    </row>
    <row r="489" customFormat="false" ht="15" hidden="false" customHeight="false" outlineLevel="0" collapsed="false">
      <c r="A489" s="0" t="n">
        <v>2023</v>
      </c>
      <c r="B489" s="0" t="s">
        <v>206</v>
      </c>
      <c r="C489" s="0" t="s">
        <v>207</v>
      </c>
      <c r="D489" s="0" t="s">
        <v>73</v>
      </c>
      <c r="E489" s="0" t="n">
        <v>1853</v>
      </c>
    </row>
    <row r="490" customFormat="false" ht="15" hidden="false" customHeight="false" outlineLevel="0" collapsed="false">
      <c r="A490" s="0" t="n">
        <v>2024</v>
      </c>
      <c r="B490" s="0" t="s">
        <v>206</v>
      </c>
      <c r="C490" s="0" t="s">
        <v>207</v>
      </c>
      <c r="D490" s="0" t="s">
        <v>73</v>
      </c>
      <c r="E490" s="0" t="n">
        <v>1828</v>
      </c>
    </row>
    <row r="491" customFormat="false" ht="15" hidden="false" customHeight="false" outlineLevel="0" collapsed="false">
      <c r="A491" s="0" t="n">
        <v>2025</v>
      </c>
      <c r="B491" s="0" t="s">
        <v>206</v>
      </c>
      <c r="C491" s="0" t="s">
        <v>207</v>
      </c>
      <c r="D491" s="0" t="s">
        <v>73</v>
      </c>
      <c r="E491" s="0" t="n">
        <v>1832</v>
      </c>
    </row>
    <row r="492" customFormat="false" ht="15" hidden="false" customHeight="false" outlineLevel="0" collapsed="false">
      <c r="A492" s="0" t="n">
        <v>2016</v>
      </c>
      <c r="B492" s="0" t="s">
        <v>222</v>
      </c>
      <c r="C492" s="0" t="s">
        <v>223</v>
      </c>
      <c r="D492" s="0" t="s">
        <v>72</v>
      </c>
      <c r="E492" s="0" t="n">
        <v>1674</v>
      </c>
    </row>
    <row r="493" customFormat="false" ht="15" hidden="false" customHeight="false" outlineLevel="0" collapsed="false">
      <c r="A493" s="0" t="n">
        <v>2017</v>
      </c>
      <c r="B493" s="0" t="s">
        <v>222</v>
      </c>
      <c r="C493" s="0" t="s">
        <v>223</v>
      </c>
      <c r="D493" s="0" t="s">
        <v>72</v>
      </c>
      <c r="E493" s="0" t="n">
        <v>1677</v>
      </c>
    </row>
    <row r="494" customFormat="false" ht="15" hidden="false" customHeight="false" outlineLevel="0" collapsed="false">
      <c r="A494" s="0" t="n">
        <v>2018</v>
      </c>
      <c r="B494" s="0" t="s">
        <v>222</v>
      </c>
      <c r="C494" s="0" t="s">
        <v>223</v>
      </c>
      <c r="D494" s="0" t="s">
        <v>72</v>
      </c>
      <c r="E494" s="0" t="n">
        <v>1677</v>
      </c>
    </row>
    <row r="495" customFormat="false" ht="15" hidden="false" customHeight="false" outlineLevel="0" collapsed="false">
      <c r="A495" s="0" t="n">
        <v>2019</v>
      </c>
      <c r="B495" s="0" t="s">
        <v>222</v>
      </c>
      <c r="C495" s="0" t="s">
        <v>223</v>
      </c>
      <c r="D495" s="0" t="s">
        <v>72</v>
      </c>
      <c r="E495" s="0" t="n">
        <v>1680</v>
      </c>
    </row>
    <row r="496" customFormat="false" ht="15" hidden="false" customHeight="false" outlineLevel="0" collapsed="false">
      <c r="A496" s="0" t="n">
        <v>2020</v>
      </c>
      <c r="B496" s="0" t="s">
        <v>222</v>
      </c>
      <c r="C496" s="0" t="s">
        <v>223</v>
      </c>
      <c r="D496" s="0" t="s">
        <v>72</v>
      </c>
      <c r="E496" s="0" t="n">
        <v>1667</v>
      </c>
    </row>
    <row r="497" customFormat="false" ht="15" hidden="false" customHeight="false" outlineLevel="0" collapsed="false">
      <c r="A497" s="0" t="n">
        <v>2021</v>
      </c>
      <c r="B497" s="0" t="s">
        <v>222</v>
      </c>
      <c r="C497" s="0" t="s">
        <v>223</v>
      </c>
      <c r="D497" s="0" t="s">
        <v>72</v>
      </c>
      <c r="E497" s="0" t="n">
        <v>1676</v>
      </c>
    </row>
    <row r="498" customFormat="false" ht="15" hidden="false" customHeight="false" outlineLevel="0" collapsed="false">
      <c r="A498" s="0" t="n">
        <v>2022</v>
      </c>
      <c r="B498" s="0" t="s">
        <v>222</v>
      </c>
      <c r="C498" s="0" t="s">
        <v>223</v>
      </c>
      <c r="D498" s="0" t="s">
        <v>72</v>
      </c>
      <c r="E498" s="0" t="n">
        <v>1727</v>
      </c>
    </row>
    <row r="499" customFormat="false" ht="15" hidden="false" customHeight="false" outlineLevel="0" collapsed="false">
      <c r="A499" s="0" t="n">
        <v>2023</v>
      </c>
      <c r="B499" s="0" t="s">
        <v>222</v>
      </c>
      <c r="C499" s="0" t="s">
        <v>223</v>
      </c>
      <c r="D499" s="0" t="s">
        <v>72</v>
      </c>
      <c r="E499" s="0" t="n">
        <v>1778</v>
      </c>
    </row>
    <row r="500" customFormat="false" ht="15" hidden="false" customHeight="false" outlineLevel="0" collapsed="false">
      <c r="A500" s="0" t="n">
        <v>2024</v>
      </c>
      <c r="B500" s="0" t="s">
        <v>222</v>
      </c>
      <c r="C500" s="0" t="s">
        <v>223</v>
      </c>
      <c r="D500" s="0" t="s">
        <v>72</v>
      </c>
      <c r="E500" s="0" t="n">
        <v>1830</v>
      </c>
    </row>
    <row r="501" customFormat="false" ht="15" hidden="false" customHeight="false" outlineLevel="0" collapsed="false">
      <c r="A501" s="0" t="n">
        <v>2025</v>
      </c>
      <c r="B501" s="0" t="s">
        <v>222</v>
      </c>
      <c r="C501" s="0" t="s">
        <v>223</v>
      </c>
      <c r="D501" s="0" t="s">
        <v>72</v>
      </c>
      <c r="E501" s="0" t="n">
        <v>1881</v>
      </c>
    </row>
    <row r="502" customFormat="false" ht="15" hidden="false" customHeight="false" outlineLevel="0" collapsed="false">
      <c r="A502" s="0" t="n">
        <v>2016</v>
      </c>
      <c r="B502" s="0" t="s">
        <v>208</v>
      </c>
      <c r="C502" s="0" t="s">
        <v>209</v>
      </c>
      <c r="D502" s="0" t="s">
        <v>73</v>
      </c>
      <c r="E502" s="0" t="n">
        <v>1165</v>
      </c>
    </row>
    <row r="503" customFormat="false" ht="15" hidden="false" customHeight="false" outlineLevel="0" collapsed="false">
      <c r="A503" s="0" t="n">
        <v>2017</v>
      </c>
      <c r="B503" s="0" t="s">
        <v>208</v>
      </c>
      <c r="C503" s="0" t="s">
        <v>209</v>
      </c>
      <c r="D503" s="0" t="s">
        <v>73</v>
      </c>
      <c r="E503" s="0" t="n">
        <v>1144</v>
      </c>
    </row>
    <row r="504" customFormat="false" ht="15" hidden="false" customHeight="false" outlineLevel="0" collapsed="false">
      <c r="A504" s="0" t="n">
        <v>2018</v>
      </c>
      <c r="B504" s="0" t="s">
        <v>208</v>
      </c>
      <c r="C504" s="0" t="s">
        <v>209</v>
      </c>
      <c r="D504" s="0" t="s">
        <v>73</v>
      </c>
      <c r="E504" s="0" t="n">
        <v>1133</v>
      </c>
    </row>
    <row r="505" customFormat="false" ht="15" hidden="false" customHeight="false" outlineLevel="0" collapsed="false">
      <c r="A505" s="0" t="n">
        <v>2019</v>
      </c>
      <c r="B505" s="0" t="s">
        <v>208</v>
      </c>
      <c r="C505" s="0" t="s">
        <v>209</v>
      </c>
      <c r="D505" s="0" t="s">
        <v>73</v>
      </c>
      <c r="E505" s="0" t="n">
        <v>1132</v>
      </c>
    </row>
    <row r="506" customFormat="false" ht="15" hidden="false" customHeight="false" outlineLevel="0" collapsed="false">
      <c r="A506" s="0" t="n">
        <v>2020</v>
      </c>
      <c r="B506" s="0" t="s">
        <v>208</v>
      </c>
      <c r="C506" s="0" t="s">
        <v>209</v>
      </c>
      <c r="D506" s="0" t="s">
        <v>73</v>
      </c>
      <c r="E506" s="0" t="n">
        <v>1132</v>
      </c>
    </row>
    <row r="507" customFormat="false" ht="15" hidden="false" customHeight="false" outlineLevel="0" collapsed="false">
      <c r="A507" s="0" t="n">
        <v>2021</v>
      </c>
      <c r="B507" s="0" t="s">
        <v>208</v>
      </c>
      <c r="C507" s="0" t="s">
        <v>209</v>
      </c>
      <c r="D507" s="0" t="s">
        <v>73</v>
      </c>
      <c r="E507" s="0" t="n">
        <v>1109</v>
      </c>
    </row>
    <row r="508" customFormat="false" ht="15" hidden="false" customHeight="false" outlineLevel="0" collapsed="false">
      <c r="A508" s="0" t="n">
        <v>2022</v>
      </c>
      <c r="B508" s="0" t="s">
        <v>208</v>
      </c>
      <c r="C508" s="0" t="s">
        <v>209</v>
      </c>
      <c r="D508" s="0" t="s">
        <v>73</v>
      </c>
      <c r="E508" s="0" t="n">
        <v>1126</v>
      </c>
    </row>
    <row r="509" customFormat="false" ht="15" hidden="false" customHeight="false" outlineLevel="0" collapsed="false">
      <c r="A509" s="0" t="n">
        <v>2023</v>
      </c>
      <c r="B509" s="0" t="s">
        <v>208</v>
      </c>
      <c r="C509" s="0" t="s">
        <v>209</v>
      </c>
      <c r="D509" s="0" t="s">
        <v>73</v>
      </c>
      <c r="E509" s="0" t="n">
        <v>1147</v>
      </c>
    </row>
    <row r="510" customFormat="false" ht="15" hidden="false" customHeight="false" outlineLevel="0" collapsed="false">
      <c r="A510" s="0" t="n">
        <v>2024</v>
      </c>
      <c r="B510" s="0" t="s">
        <v>208</v>
      </c>
      <c r="C510" s="0" t="s">
        <v>209</v>
      </c>
      <c r="D510" s="0" t="s">
        <v>73</v>
      </c>
      <c r="E510" s="0" t="n">
        <v>1180</v>
      </c>
    </row>
    <row r="511" customFormat="false" ht="15" hidden="false" customHeight="false" outlineLevel="0" collapsed="false">
      <c r="A511" s="0" t="n">
        <v>2025</v>
      </c>
      <c r="B511" s="0" t="s">
        <v>208</v>
      </c>
      <c r="C511" s="0" t="s">
        <v>209</v>
      </c>
      <c r="D511" s="0" t="s">
        <v>73</v>
      </c>
      <c r="E511" s="0" t="n">
        <v>1200</v>
      </c>
    </row>
    <row r="512" customFormat="false" ht="15" hidden="false" customHeight="false" outlineLevel="0" collapsed="false">
      <c r="A512" s="0" t="n">
        <v>2016</v>
      </c>
      <c r="B512" s="0" t="s">
        <v>217</v>
      </c>
      <c r="C512" s="0" t="s">
        <v>218</v>
      </c>
      <c r="D512" s="0" t="s">
        <v>75</v>
      </c>
      <c r="E512" s="0" t="n">
        <v>1091</v>
      </c>
    </row>
    <row r="513" customFormat="false" ht="15" hidden="false" customHeight="false" outlineLevel="0" collapsed="false">
      <c r="A513" s="0" t="n">
        <v>2017</v>
      </c>
      <c r="B513" s="0" t="s">
        <v>217</v>
      </c>
      <c r="C513" s="0" t="s">
        <v>218</v>
      </c>
      <c r="D513" s="0" t="s">
        <v>75</v>
      </c>
      <c r="E513" s="0" t="n">
        <v>1056</v>
      </c>
    </row>
    <row r="514" customFormat="false" ht="15" hidden="false" customHeight="false" outlineLevel="0" collapsed="false">
      <c r="A514" s="0" t="n">
        <v>2018</v>
      </c>
      <c r="B514" s="0" t="s">
        <v>217</v>
      </c>
      <c r="C514" s="0" t="s">
        <v>218</v>
      </c>
      <c r="D514" s="0" t="s">
        <v>75</v>
      </c>
      <c r="E514" s="0" t="n">
        <v>1018</v>
      </c>
    </row>
    <row r="515" customFormat="false" ht="15" hidden="false" customHeight="false" outlineLevel="0" collapsed="false">
      <c r="A515" s="0" t="n">
        <v>2019</v>
      </c>
      <c r="B515" s="0" t="s">
        <v>217</v>
      </c>
      <c r="C515" s="0" t="s">
        <v>218</v>
      </c>
      <c r="D515" s="0" t="s">
        <v>75</v>
      </c>
      <c r="E515" s="0" t="n">
        <v>999</v>
      </c>
    </row>
    <row r="516" customFormat="false" ht="15" hidden="false" customHeight="false" outlineLevel="0" collapsed="false">
      <c r="A516" s="0" t="n">
        <v>2020</v>
      </c>
      <c r="B516" s="0" t="s">
        <v>217</v>
      </c>
      <c r="C516" s="0" t="s">
        <v>218</v>
      </c>
      <c r="D516" s="0" t="s">
        <v>75</v>
      </c>
      <c r="E516" s="0" t="n">
        <v>976</v>
      </c>
    </row>
    <row r="517" customFormat="false" ht="15" hidden="false" customHeight="false" outlineLevel="0" collapsed="false">
      <c r="A517" s="0" t="n">
        <v>2021</v>
      </c>
      <c r="B517" s="0" t="s">
        <v>217</v>
      </c>
      <c r="C517" s="0" t="s">
        <v>218</v>
      </c>
      <c r="D517" s="0" t="s">
        <v>75</v>
      </c>
      <c r="E517" s="0" t="n">
        <v>952</v>
      </c>
    </row>
    <row r="518" customFormat="false" ht="15" hidden="false" customHeight="false" outlineLevel="0" collapsed="false">
      <c r="A518" s="0" t="n">
        <v>2022</v>
      </c>
      <c r="B518" s="0" t="s">
        <v>217</v>
      </c>
      <c r="C518" s="0" t="s">
        <v>218</v>
      </c>
      <c r="D518" s="0" t="s">
        <v>75</v>
      </c>
      <c r="E518" s="0" t="n">
        <v>952</v>
      </c>
    </row>
    <row r="519" customFormat="false" ht="15" hidden="false" customHeight="false" outlineLevel="0" collapsed="false">
      <c r="A519" s="0" t="n">
        <v>2023</v>
      </c>
      <c r="B519" s="0" t="s">
        <v>217</v>
      </c>
      <c r="C519" s="0" t="s">
        <v>218</v>
      </c>
      <c r="D519" s="0" t="s">
        <v>75</v>
      </c>
      <c r="E519" s="0" t="n">
        <v>941</v>
      </c>
    </row>
    <row r="520" customFormat="false" ht="15" hidden="false" customHeight="false" outlineLevel="0" collapsed="false">
      <c r="A520" s="0" t="n">
        <v>2024</v>
      </c>
      <c r="B520" s="0" t="s">
        <v>217</v>
      </c>
      <c r="C520" s="0" t="s">
        <v>218</v>
      </c>
      <c r="D520" s="0" t="s">
        <v>75</v>
      </c>
      <c r="E520" s="0" t="n">
        <v>937</v>
      </c>
    </row>
    <row r="521" customFormat="false" ht="15" hidden="false" customHeight="false" outlineLevel="0" collapsed="false">
      <c r="A521" s="0" t="n">
        <v>2025</v>
      </c>
      <c r="B521" s="0" t="s">
        <v>217</v>
      </c>
      <c r="C521" s="0" t="s">
        <v>218</v>
      </c>
      <c r="D521" s="0" t="s">
        <v>75</v>
      </c>
      <c r="E521" s="0" t="n">
        <v>938</v>
      </c>
    </row>
    <row r="522" customFormat="false" ht="15" hidden="false" customHeight="false" outlineLevel="0" collapsed="false">
      <c r="A522" s="0" t="n">
        <v>2016</v>
      </c>
      <c r="B522" s="0" t="s">
        <v>219</v>
      </c>
      <c r="C522" s="0" t="s">
        <v>50</v>
      </c>
      <c r="D522" s="0" t="s">
        <v>72</v>
      </c>
      <c r="E522" s="0" t="n">
        <v>2666</v>
      </c>
    </row>
    <row r="523" customFormat="false" ht="15" hidden="false" customHeight="false" outlineLevel="0" collapsed="false">
      <c r="A523" s="0" t="n">
        <v>2017</v>
      </c>
      <c r="B523" s="0" t="s">
        <v>219</v>
      </c>
      <c r="C523" s="0" t="s">
        <v>50</v>
      </c>
      <c r="D523" s="0" t="s">
        <v>72</v>
      </c>
      <c r="E523" s="0" t="n">
        <v>2669</v>
      </c>
    </row>
    <row r="524" customFormat="false" ht="15" hidden="false" customHeight="false" outlineLevel="0" collapsed="false">
      <c r="A524" s="0" t="n">
        <v>2018</v>
      </c>
      <c r="B524" s="0" t="s">
        <v>219</v>
      </c>
      <c r="C524" s="0" t="s">
        <v>50</v>
      </c>
      <c r="D524" s="0" t="s">
        <v>72</v>
      </c>
      <c r="E524" s="0" t="n">
        <v>2686</v>
      </c>
    </row>
    <row r="525" customFormat="false" ht="15" hidden="false" customHeight="false" outlineLevel="0" collapsed="false">
      <c r="A525" s="0" t="n">
        <v>2019</v>
      </c>
      <c r="B525" s="0" t="s">
        <v>219</v>
      </c>
      <c r="C525" s="0" t="s">
        <v>50</v>
      </c>
      <c r="D525" s="0" t="s">
        <v>72</v>
      </c>
      <c r="E525" s="0" t="n">
        <v>2718</v>
      </c>
    </row>
    <row r="526" customFormat="false" ht="15" hidden="false" customHeight="false" outlineLevel="0" collapsed="false">
      <c r="A526" s="0" t="n">
        <v>2020</v>
      </c>
      <c r="B526" s="0" t="s">
        <v>219</v>
      </c>
      <c r="C526" s="0" t="s">
        <v>50</v>
      </c>
      <c r="D526" s="0" t="s">
        <v>72</v>
      </c>
      <c r="E526" s="0" t="n">
        <v>2743</v>
      </c>
    </row>
    <row r="527" customFormat="false" ht="15" hidden="false" customHeight="false" outlineLevel="0" collapsed="false">
      <c r="A527" s="0" t="n">
        <v>2021</v>
      </c>
      <c r="B527" s="0" t="s">
        <v>219</v>
      </c>
      <c r="C527" s="0" t="s">
        <v>50</v>
      </c>
      <c r="D527" s="0" t="s">
        <v>72</v>
      </c>
      <c r="E527" s="0" t="n">
        <v>2801</v>
      </c>
    </row>
    <row r="528" customFormat="false" ht="15" hidden="false" customHeight="false" outlineLevel="0" collapsed="false">
      <c r="A528" s="0" t="n">
        <v>2022</v>
      </c>
      <c r="B528" s="0" t="s">
        <v>219</v>
      </c>
      <c r="C528" s="0" t="s">
        <v>50</v>
      </c>
      <c r="D528" s="0" t="s">
        <v>72</v>
      </c>
      <c r="E528" s="0" t="n">
        <v>2998</v>
      </c>
    </row>
    <row r="529" customFormat="false" ht="15" hidden="false" customHeight="false" outlineLevel="0" collapsed="false">
      <c r="A529" s="0" t="n">
        <v>2023</v>
      </c>
      <c r="B529" s="0" t="s">
        <v>219</v>
      </c>
      <c r="C529" s="0" t="s">
        <v>50</v>
      </c>
      <c r="D529" s="0" t="s">
        <v>72</v>
      </c>
      <c r="E529" s="0" t="n">
        <v>3194</v>
      </c>
    </row>
    <row r="530" customFormat="false" ht="15" hidden="false" customHeight="false" outlineLevel="0" collapsed="false">
      <c r="A530" s="0" t="n">
        <v>2024</v>
      </c>
      <c r="B530" s="0" t="s">
        <v>219</v>
      </c>
      <c r="C530" s="0" t="s">
        <v>50</v>
      </c>
      <c r="D530" s="0" t="s">
        <v>72</v>
      </c>
      <c r="E530" s="0" t="n">
        <v>3407</v>
      </c>
    </row>
    <row r="531" customFormat="false" ht="15" hidden="false" customHeight="false" outlineLevel="0" collapsed="false">
      <c r="A531" s="0" t="n">
        <v>2025</v>
      </c>
      <c r="B531" s="0" t="s">
        <v>219</v>
      </c>
      <c r="C531" s="0" t="s">
        <v>50</v>
      </c>
      <c r="D531" s="0" t="s">
        <v>72</v>
      </c>
      <c r="E531" s="0" t="n">
        <v>3604</v>
      </c>
    </row>
    <row r="532" customFormat="false" ht="15" hidden="false" customHeight="false" outlineLevel="0" collapsed="false">
      <c r="A532" s="0" t="n">
        <v>2016</v>
      </c>
      <c r="B532" s="0" t="s">
        <v>210</v>
      </c>
      <c r="C532" s="0" t="s">
        <v>211</v>
      </c>
      <c r="D532" s="0" t="s">
        <v>72</v>
      </c>
      <c r="E532" s="0" t="n">
        <v>829</v>
      </c>
    </row>
    <row r="533" customFormat="false" ht="15" hidden="false" customHeight="false" outlineLevel="0" collapsed="false">
      <c r="A533" s="0" t="n">
        <v>2017</v>
      </c>
      <c r="B533" s="0" t="s">
        <v>210</v>
      </c>
      <c r="C533" s="0" t="s">
        <v>211</v>
      </c>
      <c r="D533" s="0" t="s">
        <v>72</v>
      </c>
      <c r="E533" s="0" t="n">
        <v>829</v>
      </c>
    </row>
    <row r="534" customFormat="false" ht="15" hidden="false" customHeight="false" outlineLevel="0" collapsed="false">
      <c r="A534" s="0" t="n">
        <v>2018</v>
      </c>
      <c r="B534" s="0" t="s">
        <v>210</v>
      </c>
      <c r="C534" s="0" t="s">
        <v>211</v>
      </c>
      <c r="D534" s="0" t="s">
        <v>72</v>
      </c>
      <c r="E534" s="0" t="n">
        <v>828</v>
      </c>
    </row>
    <row r="535" customFormat="false" ht="15" hidden="false" customHeight="false" outlineLevel="0" collapsed="false">
      <c r="A535" s="0" t="n">
        <v>2019</v>
      </c>
      <c r="B535" s="0" t="s">
        <v>210</v>
      </c>
      <c r="C535" s="0" t="s">
        <v>211</v>
      </c>
      <c r="D535" s="0" t="s">
        <v>72</v>
      </c>
      <c r="E535" s="0" t="n">
        <v>772</v>
      </c>
    </row>
    <row r="536" customFormat="false" ht="15" hidden="false" customHeight="false" outlineLevel="0" collapsed="false">
      <c r="A536" s="0" t="n">
        <v>2020</v>
      </c>
      <c r="B536" s="0" t="s">
        <v>210</v>
      </c>
      <c r="C536" s="0" t="s">
        <v>211</v>
      </c>
      <c r="D536" s="0" t="s">
        <v>72</v>
      </c>
      <c r="E536" s="0" t="n">
        <v>781</v>
      </c>
    </row>
    <row r="537" customFormat="false" ht="15" hidden="false" customHeight="false" outlineLevel="0" collapsed="false">
      <c r="A537" s="0" t="n">
        <v>2021</v>
      </c>
      <c r="B537" s="0" t="s">
        <v>210</v>
      </c>
      <c r="C537" s="0" t="s">
        <v>211</v>
      </c>
      <c r="D537" s="0" t="s">
        <v>72</v>
      </c>
      <c r="E537" s="0" t="n">
        <v>790</v>
      </c>
    </row>
    <row r="538" customFormat="false" ht="15" hidden="false" customHeight="false" outlineLevel="0" collapsed="false">
      <c r="A538" s="0" t="n">
        <v>2022</v>
      </c>
      <c r="B538" s="0" t="s">
        <v>210</v>
      </c>
      <c r="C538" s="0" t="s">
        <v>211</v>
      </c>
      <c r="D538" s="0" t="s">
        <v>72</v>
      </c>
      <c r="E538" s="0" t="n">
        <v>800</v>
      </c>
    </row>
    <row r="539" customFormat="false" ht="15" hidden="false" customHeight="false" outlineLevel="0" collapsed="false">
      <c r="A539" s="0" t="n">
        <v>2023</v>
      </c>
      <c r="B539" s="0" t="s">
        <v>210</v>
      </c>
      <c r="C539" s="0" t="s">
        <v>211</v>
      </c>
      <c r="D539" s="0" t="s">
        <v>72</v>
      </c>
      <c r="E539" s="0" t="n">
        <v>813</v>
      </c>
    </row>
    <row r="540" customFormat="false" ht="15" hidden="false" customHeight="false" outlineLevel="0" collapsed="false">
      <c r="A540" s="0" t="n">
        <v>2024</v>
      </c>
      <c r="B540" s="0" t="s">
        <v>210</v>
      </c>
      <c r="C540" s="0" t="s">
        <v>211</v>
      </c>
      <c r="D540" s="0" t="s">
        <v>72</v>
      </c>
      <c r="E540" s="0" t="n">
        <v>841</v>
      </c>
    </row>
    <row r="541" customFormat="false" ht="15" hidden="false" customHeight="false" outlineLevel="0" collapsed="false">
      <c r="A541" s="0" t="n">
        <v>2025</v>
      </c>
      <c r="B541" s="0" t="s">
        <v>210</v>
      </c>
      <c r="C541" s="0" t="s">
        <v>211</v>
      </c>
      <c r="D541" s="0" t="s">
        <v>72</v>
      </c>
      <c r="E541" s="0" t="n">
        <v>877</v>
      </c>
    </row>
    <row r="542" customFormat="false" ht="15" hidden="false" customHeight="false" outlineLevel="0" collapsed="false">
      <c r="A542" s="0" t="n">
        <v>2016</v>
      </c>
      <c r="B542" s="0" t="s">
        <v>220</v>
      </c>
      <c r="C542" s="0" t="s">
        <v>221</v>
      </c>
      <c r="D542" s="0" t="s">
        <v>72</v>
      </c>
      <c r="E542" s="0" t="n">
        <v>1225</v>
      </c>
    </row>
    <row r="543" customFormat="false" ht="15" hidden="false" customHeight="false" outlineLevel="0" collapsed="false">
      <c r="A543" s="0" t="n">
        <v>2017</v>
      </c>
      <c r="B543" s="0" t="s">
        <v>220</v>
      </c>
      <c r="C543" s="0" t="s">
        <v>221</v>
      </c>
      <c r="D543" s="0" t="s">
        <v>72</v>
      </c>
      <c r="E543" s="0" t="n">
        <v>1243</v>
      </c>
    </row>
    <row r="544" customFormat="false" ht="15" hidden="false" customHeight="false" outlineLevel="0" collapsed="false">
      <c r="A544" s="0" t="n">
        <v>2018</v>
      </c>
      <c r="B544" s="0" t="s">
        <v>220</v>
      </c>
      <c r="C544" s="0" t="s">
        <v>221</v>
      </c>
      <c r="D544" s="0" t="s">
        <v>72</v>
      </c>
      <c r="E544" s="0" t="n">
        <v>1207</v>
      </c>
    </row>
    <row r="545" customFormat="false" ht="15" hidden="false" customHeight="false" outlineLevel="0" collapsed="false">
      <c r="A545" s="0" t="n">
        <v>2019</v>
      </c>
      <c r="B545" s="0" t="s">
        <v>220</v>
      </c>
      <c r="C545" s="0" t="s">
        <v>221</v>
      </c>
      <c r="D545" s="0" t="s">
        <v>72</v>
      </c>
      <c r="E545" s="0" t="n">
        <v>1205</v>
      </c>
    </row>
    <row r="546" customFormat="false" ht="15" hidden="false" customHeight="false" outlineLevel="0" collapsed="false">
      <c r="A546" s="0" t="n">
        <v>2020</v>
      </c>
      <c r="B546" s="0" t="s">
        <v>220</v>
      </c>
      <c r="C546" s="0" t="s">
        <v>221</v>
      </c>
      <c r="D546" s="0" t="s">
        <v>72</v>
      </c>
      <c r="E546" s="0" t="n">
        <v>1204</v>
      </c>
    </row>
    <row r="547" customFormat="false" ht="15" hidden="false" customHeight="false" outlineLevel="0" collapsed="false">
      <c r="A547" s="0" t="n">
        <v>2021</v>
      </c>
      <c r="B547" s="0" t="s">
        <v>220</v>
      </c>
      <c r="C547" s="0" t="s">
        <v>221</v>
      </c>
      <c r="D547" s="0" t="s">
        <v>72</v>
      </c>
      <c r="E547" s="0" t="n">
        <v>1212</v>
      </c>
    </row>
    <row r="548" customFormat="false" ht="15" hidden="false" customHeight="false" outlineLevel="0" collapsed="false">
      <c r="A548" s="0" t="n">
        <v>2022</v>
      </c>
      <c r="B548" s="0" t="s">
        <v>220</v>
      </c>
      <c r="C548" s="0" t="s">
        <v>221</v>
      </c>
      <c r="D548" s="0" t="s">
        <v>72</v>
      </c>
      <c r="E548" s="0" t="n">
        <v>1237</v>
      </c>
    </row>
    <row r="549" customFormat="false" ht="15" hidden="false" customHeight="false" outlineLevel="0" collapsed="false">
      <c r="A549" s="0" t="n">
        <v>2023</v>
      </c>
      <c r="B549" s="0" t="s">
        <v>220</v>
      </c>
      <c r="C549" s="0" t="s">
        <v>221</v>
      </c>
      <c r="D549" s="0" t="s">
        <v>72</v>
      </c>
      <c r="E549" s="0" t="n">
        <v>1247</v>
      </c>
    </row>
    <row r="550" customFormat="false" ht="15" hidden="false" customHeight="false" outlineLevel="0" collapsed="false">
      <c r="A550" s="0" t="n">
        <v>2024</v>
      </c>
      <c r="B550" s="0" t="s">
        <v>220</v>
      </c>
      <c r="C550" s="0" t="s">
        <v>221</v>
      </c>
      <c r="D550" s="0" t="s">
        <v>72</v>
      </c>
      <c r="E550" s="0" t="n">
        <v>1267</v>
      </c>
    </row>
    <row r="551" customFormat="false" ht="15" hidden="false" customHeight="false" outlineLevel="0" collapsed="false">
      <c r="A551" s="0" t="n">
        <v>2025</v>
      </c>
      <c r="B551" s="0" t="s">
        <v>220</v>
      </c>
      <c r="C551" s="0" t="s">
        <v>221</v>
      </c>
      <c r="D551" s="0" t="s">
        <v>72</v>
      </c>
      <c r="E551" s="0" t="n">
        <v>1323</v>
      </c>
    </row>
    <row r="552" customFormat="false" ht="15" hidden="false" customHeight="false" outlineLevel="0" collapsed="false">
      <c r="A552" s="0" t="n">
        <v>2016</v>
      </c>
      <c r="B552" s="0" t="s">
        <v>212</v>
      </c>
      <c r="C552" s="0" t="s">
        <v>213</v>
      </c>
      <c r="D552" s="0" t="s">
        <v>73</v>
      </c>
      <c r="E552" s="0" t="n">
        <v>1743</v>
      </c>
    </row>
    <row r="553" customFormat="false" ht="15" hidden="false" customHeight="false" outlineLevel="0" collapsed="false">
      <c r="A553" s="0" t="n">
        <v>2017</v>
      </c>
      <c r="B553" s="0" t="s">
        <v>212</v>
      </c>
      <c r="C553" s="0" t="s">
        <v>213</v>
      </c>
      <c r="D553" s="0" t="s">
        <v>73</v>
      </c>
      <c r="E553" s="0" t="n">
        <v>1711</v>
      </c>
    </row>
    <row r="554" customFormat="false" ht="15" hidden="false" customHeight="false" outlineLevel="0" collapsed="false">
      <c r="A554" s="0" t="n">
        <v>2018</v>
      </c>
      <c r="B554" s="0" t="s">
        <v>212</v>
      </c>
      <c r="C554" s="0" t="s">
        <v>213</v>
      </c>
      <c r="D554" s="0" t="s">
        <v>73</v>
      </c>
      <c r="E554" s="0" t="n">
        <v>1661</v>
      </c>
    </row>
    <row r="555" customFormat="false" ht="15" hidden="false" customHeight="false" outlineLevel="0" collapsed="false">
      <c r="A555" s="0" t="n">
        <v>2019</v>
      </c>
      <c r="B555" s="0" t="s">
        <v>212</v>
      </c>
      <c r="C555" s="0" t="s">
        <v>213</v>
      </c>
      <c r="D555" s="0" t="s">
        <v>73</v>
      </c>
      <c r="E555" s="0" t="n">
        <v>1635</v>
      </c>
    </row>
    <row r="556" customFormat="false" ht="15" hidden="false" customHeight="false" outlineLevel="0" collapsed="false">
      <c r="A556" s="0" t="n">
        <v>2020</v>
      </c>
      <c r="B556" s="0" t="s">
        <v>212</v>
      </c>
      <c r="C556" s="0" t="s">
        <v>213</v>
      </c>
      <c r="D556" s="0" t="s">
        <v>73</v>
      </c>
      <c r="E556" s="0" t="n">
        <v>1623</v>
      </c>
    </row>
    <row r="557" customFormat="false" ht="15" hidden="false" customHeight="false" outlineLevel="0" collapsed="false">
      <c r="A557" s="0" t="n">
        <v>2021</v>
      </c>
      <c r="B557" s="0" t="s">
        <v>212</v>
      </c>
      <c r="C557" s="0" t="s">
        <v>213</v>
      </c>
      <c r="D557" s="0" t="s">
        <v>73</v>
      </c>
      <c r="E557" s="0" t="n">
        <v>1586</v>
      </c>
    </row>
    <row r="558" customFormat="false" ht="15" hidden="false" customHeight="false" outlineLevel="0" collapsed="false">
      <c r="A558" s="0" t="n">
        <v>2022</v>
      </c>
      <c r="B558" s="0" t="s">
        <v>212</v>
      </c>
      <c r="C558" s="0" t="s">
        <v>213</v>
      </c>
      <c r="D558" s="0" t="s">
        <v>73</v>
      </c>
      <c r="E558" s="0" t="n">
        <v>1553</v>
      </c>
    </row>
    <row r="559" customFormat="false" ht="15" hidden="false" customHeight="false" outlineLevel="0" collapsed="false">
      <c r="A559" s="0" t="n">
        <v>2023</v>
      </c>
      <c r="B559" s="0" t="s">
        <v>212</v>
      </c>
      <c r="C559" s="0" t="s">
        <v>213</v>
      </c>
      <c r="D559" s="0" t="s">
        <v>73</v>
      </c>
      <c r="E559" s="0" t="n">
        <v>1520</v>
      </c>
    </row>
    <row r="560" customFormat="false" ht="15" hidden="false" customHeight="false" outlineLevel="0" collapsed="false">
      <c r="A560" s="0" t="n">
        <v>2024</v>
      </c>
      <c r="B560" s="0" t="s">
        <v>212</v>
      </c>
      <c r="C560" s="0" t="s">
        <v>213</v>
      </c>
      <c r="D560" s="0" t="s">
        <v>73</v>
      </c>
      <c r="E560" s="0" t="n">
        <v>1487</v>
      </c>
    </row>
    <row r="561" customFormat="false" ht="15" hidden="false" customHeight="false" outlineLevel="0" collapsed="false">
      <c r="A561" s="0" t="n">
        <v>2025</v>
      </c>
      <c r="B561" s="0" t="s">
        <v>212</v>
      </c>
      <c r="C561" s="0" t="s">
        <v>213</v>
      </c>
      <c r="D561" s="0" t="s">
        <v>73</v>
      </c>
      <c r="E561" s="0" t="n">
        <v>1427</v>
      </c>
    </row>
    <row r="562" customFormat="false" ht="15" hidden="false" customHeight="false" outlineLevel="0" collapsed="false">
      <c r="A562" s="0" t="n">
        <v>2016</v>
      </c>
      <c r="B562" s="0" t="s">
        <v>214</v>
      </c>
      <c r="C562" s="0" t="s">
        <v>215</v>
      </c>
      <c r="D562" s="0" t="s">
        <v>74</v>
      </c>
      <c r="E562" s="0" t="n">
        <v>876</v>
      </c>
    </row>
    <row r="563" customFormat="false" ht="15" hidden="false" customHeight="false" outlineLevel="0" collapsed="false">
      <c r="A563" s="0" t="n">
        <v>2017</v>
      </c>
      <c r="B563" s="0" t="s">
        <v>214</v>
      </c>
      <c r="C563" s="0" t="s">
        <v>215</v>
      </c>
      <c r="D563" s="0" t="s">
        <v>74</v>
      </c>
      <c r="E563" s="0" t="n">
        <v>881</v>
      </c>
    </row>
    <row r="564" customFormat="false" ht="15" hidden="false" customHeight="false" outlineLevel="0" collapsed="false">
      <c r="A564" s="0" t="n">
        <v>2018</v>
      </c>
      <c r="B564" s="0" t="s">
        <v>214</v>
      </c>
      <c r="C564" s="0" t="s">
        <v>215</v>
      </c>
      <c r="D564" s="0" t="s">
        <v>74</v>
      </c>
      <c r="E564" s="0" t="n">
        <v>885</v>
      </c>
    </row>
    <row r="565" customFormat="false" ht="15" hidden="false" customHeight="false" outlineLevel="0" collapsed="false">
      <c r="A565" s="0" t="n">
        <v>2019</v>
      </c>
      <c r="B565" s="0" t="s">
        <v>214</v>
      </c>
      <c r="C565" s="0" t="s">
        <v>215</v>
      </c>
      <c r="D565" s="0" t="s">
        <v>74</v>
      </c>
      <c r="E565" s="0" t="n">
        <v>890</v>
      </c>
    </row>
    <row r="566" customFormat="false" ht="15" hidden="false" customHeight="false" outlineLevel="0" collapsed="false">
      <c r="A566" s="0" t="n">
        <v>2020</v>
      </c>
      <c r="B566" s="0" t="s">
        <v>214</v>
      </c>
      <c r="C566" s="0" t="s">
        <v>215</v>
      </c>
      <c r="D566" s="0" t="s">
        <v>74</v>
      </c>
      <c r="E566" s="0" t="n">
        <v>885</v>
      </c>
    </row>
    <row r="567" customFormat="false" ht="15" hidden="false" customHeight="false" outlineLevel="0" collapsed="false">
      <c r="A567" s="0" t="n">
        <v>2021</v>
      </c>
      <c r="B567" s="0" t="s">
        <v>214</v>
      </c>
      <c r="C567" s="0" t="s">
        <v>215</v>
      </c>
      <c r="D567" s="0" t="s">
        <v>74</v>
      </c>
      <c r="E567" s="0" t="n">
        <v>879</v>
      </c>
    </row>
    <row r="568" customFormat="false" ht="15" hidden="false" customHeight="false" outlineLevel="0" collapsed="false">
      <c r="A568" s="0" t="n">
        <v>2022</v>
      </c>
      <c r="B568" s="0" t="s">
        <v>214</v>
      </c>
      <c r="C568" s="0" t="s">
        <v>215</v>
      </c>
      <c r="D568" s="0" t="s">
        <v>74</v>
      </c>
      <c r="E568" s="0" t="n">
        <v>884</v>
      </c>
    </row>
    <row r="569" customFormat="false" ht="15" hidden="false" customHeight="false" outlineLevel="0" collapsed="false">
      <c r="A569" s="0" t="n">
        <v>2023</v>
      </c>
      <c r="B569" s="0" t="s">
        <v>214</v>
      </c>
      <c r="C569" s="0" t="s">
        <v>215</v>
      </c>
      <c r="D569" s="0" t="s">
        <v>74</v>
      </c>
      <c r="E569" s="0" t="n">
        <v>893</v>
      </c>
    </row>
    <row r="570" customFormat="false" ht="15" hidden="false" customHeight="false" outlineLevel="0" collapsed="false">
      <c r="A570" s="0" t="n">
        <v>2024</v>
      </c>
      <c r="B570" s="0" t="s">
        <v>214</v>
      </c>
      <c r="C570" s="0" t="s">
        <v>215</v>
      </c>
      <c r="D570" s="0" t="s">
        <v>74</v>
      </c>
      <c r="E570" s="0" t="n">
        <v>901</v>
      </c>
    </row>
    <row r="571" customFormat="false" ht="15" hidden="false" customHeight="false" outlineLevel="0" collapsed="false">
      <c r="A571" s="0" t="n">
        <v>2025</v>
      </c>
      <c r="B571" s="0" t="s">
        <v>214</v>
      </c>
      <c r="C571" s="0" t="s">
        <v>215</v>
      </c>
      <c r="D571" s="0" t="s">
        <v>74</v>
      </c>
      <c r="E571" s="0" t="n">
        <v>904</v>
      </c>
    </row>
    <row r="572" customFormat="false" ht="15" hidden="false" customHeight="false" outlineLevel="0" collapsed="false">
      <c r="A572" s="0" t="n">
        <v>2016</v>
      </c>
      <c r="B572" s="0" t="s">
        <v>224</v>
      </c>
      <c r="C572" s="0" t="s">
        <v>51</v>
      </c>
      <c r="D572" s="0" t="s">
        <v>74</v>
      </c>
      <c r="E572" s="0" t="n">
        <v>1719</v>
      </c>
    </row>
    <row r="573" customFormat="false" ht="15" hidden="false" customHeight="false" outlineLevel="0" collapsed="false">
      <c r="A573" s="0" t="n">
        <v>2017</v>
      </c>
      <c r="B573" s="0" t="s">
        <v>224</v>
      </c>
      <c r="C573" s="0" t="s">
        <v>51</v>
      </c>
      <c r="D573" s="0" t="s">
        <v>74</v>
      </c>
      <c r="E573" s="0" t="n">
        <v>1707</v>
      </c>
    </row>
    <row r="574" customFormat="false" ht="15" hidden="false" customHeight="false" outlineLevel="0" collapsed="false">
      <c r="A574" s="0" t="n">
        <v>2018</v>
      </c>
      <c r="B574" s="0" t="s">
        <v>224</v>
      </c>
      <c r="C574" s="0" t="s">
        <v>51</v>
      </c>
      <c r="D574" s="0" t="s">
        <v>74</v>
      </c>
      <c r="E574" s="0" t="n">
        <v>1706</v>
      </c>
    </row>
    <row r="575" customFormat="false" ht="15" hidden="false" customHeight="false" outlineLevel="0" collapsed="false">
      <c r="A575" s="0" t="n">
        <v>2019</v>
      </c>
      <c r="B575" s="0" t="s">
        <v>224</v>
      </c>
      <c r="C575" s="0" t="s">
        <v>51</v>
      </c>
      <c r="D575" s="0" t="s">
        <v>74</v>
      </c>
      <c r="E575" s="0" t="n">
        <v>1706</v>
      </c>
    </row>
    <row r="576" customFormat="false" ht="15" hidden="false" customHeight="false" outlineLevel="0" collapsed="false">
      <c r="A576" s="0" t="n">
        <v>2020</v>
      </c>
      <c r="B576" s="0" t="s">
        <v>224</v>
      </c>
      <c r="C576" s="0" t="s">
        <v>51</v>
      </c>
      <c r="D576" s="0" t="s">
        <v>74</v>
      </c>
      <c r="E576" s="0" t="n">
        <v>1633</v>
      </c>
    </row>
    <row r="577" customFormat="false" ht="15" hidden="false" customHeight="false" outlineLevel="0" collapsed="false">
      <c r="A577" s="0" t="n">
        <v>2021</v>
      </c>
      <c r="B577" s="0" t="s">
        <v>224</v>
      </c>
      <c r="C577" s="0" t="s">
        <v>51</v>
      </c>
      <c r="D577" s="0" t="s">
        <v>74</v>
      </c>
      <c r="E577" s="0" t="n">
        <v>1652</v>
      </c>
    </row>
    <row r="578" customFormat="false" ht="15" hidden="false" customHeight="false" outlineLevel="0" collapsed="false">
      <c r="A578" s="0" t="n">
        <v>2022</v>
      </c>
      <c r="B578" s="0" t="s">
        <v>224</v>
      </c>
      <c r="C578" s="0" t="s">
        <v>51</v>
      </c>
      <c r="D578" s="0" t="s">
        <v>74</v>
      </c>
      <c r="E578" s="0" t="n">
        <v>1664</v>
      </c>
    </row>
    <row r="579" customFormat="false" ht="15" hidden="false" customHeight="false" outlineLevel="0" collapsed="false">
      <c r="A579" s="0" t="n">
        <v>2023</v>
      </c>
      <c r="B579" s="0" t="s">
        <v>224</v>
      </c>
      <c r="C579" s="0" t="s">
        <v>51</v>
      </c>
      <c r="D579" s="0" t="s">
        <v>74</v>
      </c>
      <c r="E579" s="0" t="n">
        <v>1693</v>
      </c>
    </row>
    <row r="580" customFormat="false" ht="15" hidden="false" customHeight="false" outlineLevel="0" collapsed="false">
      <c r="A580" s="0" t="n">
        <v>2024</v>
      </c>
      <c r="B580" s="0" t="s">
        <v>224</v>
      </c>
      <c r="C580" s="0" t="s">
        <v>51</v>
      </c>
      <c r="D580" s="0" t="s">
        <v>74</v>
      </c>
      <c r="E580" s="0" t="n">
        <v>1686</v>
      </c>
    </row>
    <row r="581" customFormat="false" ht="15" hidden="false" customHeight="false" outlineLevel="0" collapsed="false">
      <c r="A581" s="0" t="n">
        <v>2025</v>
      </c>
      <c r="B581" s="0" t="s">
        <v>224</v>
      </c>
      <c r="C581" s="0" t="s">
        <v>51</v>
      </c>
      <c r="D581" s="0" t="s">
        <v>74</v>
      </c>
      <c r="E581" s="0" t="n">
        <v>1698</v>
      </c>
    </row>
    <row r="582" customFormat="false" ht="15" hidden="false" customHeight="false" outlineLevel="0" collapsed="false">
      <c r="A582" s="0" t="n">
        <v>2016</v>
      </c>
      <c r="B582" s="0" t="s">
        <v>225</v>
      </c>
      <c r="C582" s="0" t="s">
        <v>226</v>
      </c>
      <c r="D582" s="0" t="s">
        <v>72</v>
      </c>
      <c r="E582" s="0" t="n">
        <v>946</v>
      </c>
    </row>
    <row r="583" customFormat="false" ht="15" hidden="false" customHeight="false" outlineLevel="0" collapsed="false">
      <c r="A583" s="0" t="n">
        <v>2017</v>
      </c>
      <c r="B583" s="0" t="s">
        <v>225</v>
      </c>
      <c r="C583" s="0" t="s">
        <v>226</v>
      </c>
      <c r="D583" s="0" t="s">
        <v>72</v>
      </c>
      <c r="E583" s="0" t="n">
        <v>935</v>
      </c>
    </row>
    <row r="584" customFormat="false" ht="15" hidden="false" customHeight="false" outlineLevel="0" collapsed="false">
      <c r="A584" s="0" t="n">
        <v>2018</v>
      </c>
      <c r="B584" s="0" t="s">
        <v>225</v>
      </c>
      <c r="C584" s="0" t="s">
        <v>226</v>
      </c>
      <c r="D584" s="0" t="s">
        <v>72</v>
      </c>
      <c r="E584" s="0" t="n">
        <v>936</v>
      </c>
    </row>
    <row r="585" customFormat="false" ht="15" hidden="false" customHeight="false" outlineLevel="0" collapsed="false">
      <c r="A585" s="0" t="n">
        <v>2019</v>
      </c>
      <c r="B585" s="0" t="s">
        <v>225</v>
      </c>
      <c r="C585" s="0" t="s">
        <v>226</v>
      </c>
      <c r="D585" s="0" t="s">
        <v>72</v>
      </c>
      <c r="E585" s="0" t="n">
        <v>923</v>
      </c>
    </row>
    <row r="586" customFormat="false" ht="15" hidden="false" customHeight="false" outlineLevel="0" collapsed="false">
      <c r="A586" s="0" t="n">
        <v>2020</v>
      </c>
      <c r="B586" s="0" t="s">
        <v>225</v>
      </c>
      <c r="C586" s="0" t="s">
        <v>226</v>
      </c>
      <c r="D586" s="0" t="s">
        <v>72</v>
      </c>
      <c r="E586" s="0" t="n">
        <v>913</v>
      </c>
    </row>
    <row r="587" customFormat="false" ht="15" hidden="false" customHeight="false" outlineLevel="0" collapsed="false">
      <c r="A587" s="0" t="n">
        <v>2021</v>
      </c>
      <c r="B587" s="0" t="s">
        <v>225</v>
      </c>
      <c r="C587" s="0" t="s">
        <v>226</v>
      </c>
      <c r="D587" s="0" t="s">
        <v>72</v>
      </c>
      <c r="E587" s="0" t="n">
        <v>906</v>
      </c>
    </row>
    <row r="588" customFormat="false" ht="15" hidden="false" customHeight="false" outlineLevel="0" collapsed="false">
      <c r="A588" s="0" t="n">
        <v>2022</v>
      </c>
      <c r="B588" s="0" t="s">
        <v>225</v>
      </c>
      <c r="C588" s="0" t="s">
        <v>226</v>
      </c>
      <c r="D588" s="0" t="s">
        <v>72</v>
      </c>
      <c r="E588" s="0" t="n">
        <v>952</v>
      </c>
    </row>
    <row r="589" customFormat="false" ht="15" hidden="false" customHeight="false" outlineLevel="0" collapsed="false">
      <c r="A589" s="0" t="n">
        <v>2023</v>
      </c>
      <c r="B589" s="0" t="s">
        <v>225</v>
      </c>
      <c r="C589" s="0" t="s">
        <v>226</v>
      </c>
      <c r="D589" s="0" t="s">
        <v>72</v>
      </c>
      <c r="E589" s="0" t="n">
        <v>984</v>
      </c>
    </row>
    <row r="590" customFormat="false" ht="15" hidden="false" customHeight="false" outlineLevel="0" collapsed="false">
      <c r="A590" s="0" t="n">
        <v>2024</v>
      </c>
      <c r="B590" s="0" t="s">
        <v>225</v>
      </c>
      <c r="C590" s="0" t="s">
        <v>226</v>
      </c>
      <c r="D590" s="0" t="s">
        <v>72</v>
      </c>
      <c r="E590" s="0" t="n">
        <v>1035</v>
      </c>
    </row>
    <row r="591" customFormat="false" ht="15" hidden="false" customHeight="false" outlineLevel="0" collapsed="false">
      <c r="A591" s="0" t="n">
        <v>2025</v>
      </c>
      <c r="B591" s="0" t="s">
        <v>225</v>
      </c>
      <c r="C591" s="0" t="s">
        <v>226</v>
      </c>
      <c r="D591" s="0" t="s">
        <v>72</v>
      </c>
      <c r="E591" s="0" t="n">
        <v>1070</v>
      </c>
    </row>
    <row r="592" customFormat="false" ht="15" hidden="false" customHeight="false" outlineLevel="0" collapsed="false">
      <c r="A592" s="0" t="n">
        <v>2016</v>
      </c>
      <c r="B592" s="0" t="s">
        <v>227</v>
      </c>
      <c r="C592" s="0" t="s">
        <v>228</v>
      </c>
      <c r="D592" s="0" t="s">
        <v>75</v>
      </c>
      <c r="E592" s="0" t="n">
        <v>1226</v>
      </c>
    </row>
    <row r="593" customFormat="false" ht="15" hidden="false" customHeight="false" outlineLevel="0" collapsed="false">
      <c r="A593" s="0" t="n">
        <v>2017</v>
      </c>
      <c r="B593" s="0" t="s">
        <v>227</v>
      </c>
      <c r="C593" s="0" t="s">
        <v>228</v>
      </c>
      <c r="D593" s="0" t="s">
        <v>75</v>
      </c>
      <c r="E593" s="0" t="n">
        <v>1238</v>
      </c>
    </row>
    <row r="594" customFormat="false" ht="15" hidden="false" customHeight="false" outlineLevel="0" collapsed="false">
      <c r="A594" s="0" t="n">
        <v>2018</v>
      </c>
      <c r="B594" s="0" t="s">
        <v>227</v>
      </c>
      <c r="C594" s="0" t="s">
        <v>228</v>
      </c>
      <c r="D594" s="0" t="s">
        <v>75</v>
      </c>
      <c r="E594" s="0" t="n">
        <v>1242</v>
      </c>
    </row>
    <row r="595" customFormat="false" ht="15" hidden="false" customHeight="false" outlineLevel="0" collapsed="false">
      <c r="A595" s="0" t="n">
        <v>2019</v>
      </c>
      <c r="B595" s="0" t="s">
        <v>227</v>
      </c>
      <c r="C595" s="0" t="s">
        <v>228</v>
      </c>
      <c r="D595" s="0" t="s">
        <v>75</v>
      </c>
      <c r="E595" s="0" t="n">
        <v>1243</v>
      </c>
    </row>
    <row r="596" customFormat="false" ht="15" hidden="false" customHeight="false" outlineLevel="0" collapsed="false">
      <c r="A596" s="0" t="n">
        <v>2020</v>
      </c>
      <c r="B596" s="0" t="s">
        <v>227</v>
      </c>
      <c r="C596" s="0" t="s">
        <v>228</v>
      </c>
      <c r="D596" s="0" t="s">
        <v>75</v>
      </c>
      <c r="E596" s="0" t="n">
        <v>1240</v>
      </c>
    </row>
    <row r="597" customFormat="false" ht="15" hidden="false" customHeight="false" outlineLevel="0" collapsed="false">
      <c r="A597" s="0" t="n">
        <v>2021</v>
      </c>
      <c r="B597" s="0" t="s">
        <v>227</v>
      </c>
      <c r="C597" s="0" t="s">
        <v>228</v>
      </c>
      <c r="D597" s="0" t="s">
        <v>75</v>
      </c>
      <c r="E597" s="0" t="n">
        <v>1233</v>
      </c>
    </row>
    <row r="598" customFormat="false" ht="15" hidden="false" customHeight="false" outlineLevel="0" collapsed="false">
      <c r="A598" s="0" t="n">
        <v>2022</v>
      </c>
      <c r="B598" s="0" t="s">
        <v>227</v>
      </c>
      <c r="C598" s="0" t="s">
        <v>228</v>
      </c>
      <c r="D598" s="0" t="s">
        <v>75</v>
      </c>
      <c r="E598" s="0" t="n">
        <v>1201</v>
      </c>
    </row>
    <row r="599" customFormat="false" ht="15" hidden="false" customHeight="false" outlineLevel="0" collapsed="false">
      <c r="A599" s="0" t="n">
        <v>2023</v>
      </c>
      <c r="B599" s="0" t="s">
        <v>227</v>
      </c>
      <c r="C599" s="0" t="s">
        <v>228</v>
      </c>
      <c r="D599" s="0" t="s">
        <v>75</v>
      </c>
      <c r="E599" s="0" t="n">
        <v>1204</v>
      </c>
    </row>
    <row r="600" customFormat="false" ht="15" hidden="false" customHeight="false" outlineLevel="0" collapsed="false">
      <c r="A600" s="0" t="n">
        <v>2024</v>
      </c>
      <c r="B600" s="0" t="s">
        <v>227</v>
      </c>
      <c r="C600" s="0" t="s">
        <v>228</v>
      </c>
      <c r="D600" s="0" t="s">
        <v>75</v>
      </c>
      <c r="E600" s="0" t="n">
        <v>1214</v>
      </c>
    </row>
    <row r="601" customFormat="false" ht="15" hidden="false" customHeight="false" outlineLevel="0" collapsed="false">
      <c r="A601" s="0" t="n">
        <v>2025</v>
      </c>
      <c r="B601" s="0" t="s">
        <v>227</v>
      </c>
      <c r="C601" s="0" t="s">
        <v>228</v>
      </c>
      <c r="D601" s="0" t="s">
        <v>75</v>
      </c>
      <c r="E601" s="0" t="n">
        <v>1235</v>
      </c>
    </row>
    <row r="602" customFormat="false" ht="15" hidden="false" customHeight="false" outlineLevel="0" collapsed="false">
      <c r="A602" s="0" t="n">
        <v>2016</v>
      </c>
      <c r="B602" s="0" t="s">
        <v>229</v>
      </c>
      <c r="C602" s="0" t="s">
        <v>230</v>
      </c>
      <c r="D602" s="0" t="s">
        <v>75</v>
      </c>
      <c r="E602" s="0" t="n">
        <v>699</v>
      </c>
    </row>
    <row r="603" customFormat="false" ht="15" hidden="false" customHeight="false" outlineLevel="0" collapsed="false">
      <c r="A603" s="0" t="n">
        <v>2017</v>
      </c>
      <c r="B603" s="0" t="s">
        <v>229</v>
      </c>
      <c r="C603" s="0" t="s">
        <v>230</v>
      </c>
      <c r="D603" s="0" t="s">
        <v>75</v>
      </c>
      <c r="E603" s="0" t="n">
        <v>695</v>
      </c>
    </row>
    <row r="604" customFormat="false" ht="15" hidden="false" customHeight="false" outlineLevel="0" collapsed="false">
      <c r="A604" s="0" t="n">
        <v>2018</v>
      </c>
      <c r="B604" s="0" t="s">
        <v>229</v>
      </c>
      <c r="C604" s="0" t="s">
        <v>230</v>
      </c>
      <c r="D604" s="0" t="s">
        <v>75</v>
      </c>
      <c r="E604" s="0" t="n">
        <v>708</v>
      </c>
    </row>
    <row r="605" customFormat="false" ht="15" hidden="false" customHeight="false" outlineLevel="0" collapsed="false">
      <c r="A605" s="0" t="n">
        <v>2019</v>
      </c>
      <c r="B605" s="0" t="s">
        <v>229</v>
      </c>
      <c r="C605" s="0" t="s">
        <v>230</v>
      </c>
      <c r="D605" s="0" t="s">
        <v>75</v>
      </c>
      <c r="E605" s="0" t="n">
        <v>710</v>
      </c>
    </row>
    <row r="606" customFormat="false" ht="15" hidden="false" customHeight="false" outlineLevel="0" collapsed="false">
      <c r="A606" s="0" t="n">
        <v>2020</v>
      </c>
      <c r="B606" s="0" t="s">
        <v>229</v>
      </c>
      <c r="C606" s="0" t="s">
        <v>230</v>
      </c>
      <c r="D606" s="0" t="s">
        <v>75</v>
      </c>
      <c r="E606" s="0" t="n">
        <v>710</v>
      </c>
    </row>
    <row r="607" customFormat="false" ht="15" hidden="false" customHeight="false" outlineLevel="0" collapsed="false">
      <c r="A607" s="0" t="n">
        <v>2021</v>
      </c>
      <c r="B607" s="0" t="s">
        <v>229</v>
      </c>
      <c r="C607" s="0" t="s">
        <v>230</v>
      </c>
      <c r="D607" s="0" t="s">
        <v>75</v>
      </c>
      <c r="E607" s="0" t="n">
        <v>713</v>
      </c>
    </row>
    <row r="608" customFormat="false" ht="15" hidden="false" customHeight="false" outlineLevel="0" collapsed="false">
      <c r="A608" s="0" t="n">
        <v>2022</v>
      </c>
      <c r="B608" s="0" t="s">
        <v>229</v>
      </c>
      <c r="C608" s="0" t="s">
        <v>230</v>
      </c>
      <c r="D608" s="0" t="s">
        <v>75</v>
      </c>
      <c r="E608" s="0" t="n">
        <v>717</v>
      </c>
    </row>
    <row r="609" customFormat="false" ht="15" hidden="false" customHeight="false" outlineLevel="0" collapsed="false">
      <c r="A609" s="0" t="n">
        <v>2023</v>
      </c>
      <c r="B609" s="0" t="s">
        <v>229</v>
      </c>
      <c r="C609" s="0" t="s">
        <v>230</v>
      </c>
      <c r="D609" s="0" t="s">
        <v>75</v>
      </c>
      <c r="E609" s="0" t="n">
        <v>720</v>
      </c>
    </row>
    <row r="610" customFormat="false" ht="15" hidden="false" customHeight="false" outlineLevel="0" collapsed="false">
      <c r="A610" s="0" t="n">
        <v>2024</v>
      </c>
      <c r="B610" s="0" t="s">
        <v>229</v>
      </c>
      <c r="C610" s="0" t="s">
        <v>230</v>
      </c>
      <c r="D610" s="0" t="s">
        <v>75</v>
      </c>
      <c r="E610" s="0" t="n">
        <v>723</v>
      </c>
    </row>
    <row r="611" customFormat="false" ht="15" hidden="false" customHeight="false" outlineLevel="0" collapsed="false">
      <c r="A611" s="0" t="n">
        <v>2025</v>
      </c>
      <c r="B611" s="0" t="s">
        <v>229</v>
      </c>
      <c r="C611" s="0" t="s">
        <v>230</v>
      </c>
      <c r="D611" s="0" t="s">
        <v>75</v>
      </c>
      <c r="E611" s="0" t="n">
        <v>729</v>
      </c>
    </row>
    <row r="612" customFormat="false" ht="15" hidden="false" customHeight="false" outlineLevel="0" collapsed="false">
      <c r="A612" s="0" t="n">
        <v>2016</v>
      </c>
      <c r="B612" s="0" t="s">
        <v>233</v>
      </c>
      <c r="C612" s="0" t="s">
        <v>234</v>
      </c>
      <c r="D612" s="0" t="s">
        <v>75</v>
      </c>
      <c r="E612" s="0" t="n">
        <v>967</v>
      </c>
    </row>
    <row r="613" customFormat="false" ht="15" hidden="false" customHeight="false" outlineLevel="0" collapsed="false">
      <c r="A613" s="0" t="n">
        <v>2017</v>
      </c>
      <c r="B613" s="0" t="s">
        <v>233</v>
      </c>
      <c r="C613" s="0" t="s">
        <v>234</v>
      </c>
      <c r="D613" s="0" t="s">
        <v>75</v>
      </c>
      <c r="E613" s="0" t="n">
        <v>948</v>
      </c>
    </row>
    <row r="614" customFormat="false" ht="15" hidden="false" customHeight="false" outlineLevel="0" collapsed="false">
      <c r="A614" s="0" t="n">
        <v>2018</v>
      </c>
      <c r="B614" s="0" t="s">
        <v>233</v>
      </c>
      <c r="C614" s="0" t="s">
        <v>234</v>
      </c>
      <c r="D614" s="0" t="s">
        <v>75</v>
      </c>
      <c r="E614" s="0" t="n">
        <v>925</v>
      </c>
    </row>
    <row r="615" customFormat="false" ht="15" hidden="false" customHeight="false" outlineLevel="0" collapsed="false">
      <c r="A615" s="0" t="n">
        <v>2019</v>
      </c>
      <c r="B615" s="0" t="s">
        <v>233</v>
      </c>
      <c r="C615" s="0" t="s">
        <v>234</v>
      </c>
      <c r="D615" s="0" t="s">
        <v>75</v>
      </c>
      <c r="E615" s="0" t="n">
        <v>920</v>
      </c>
    </row>
    <row r="616" customFormat="false" ht="15" hidden="false" customHeight="false" outlineLevel="0" collapsed="false">
      <c r="A616" s="0" t="n">
        <v>2020</v>
      </c>
      <c r="B616" s="0" t="s">
        <v>233</v>
      </c>
      <c r="C616" s="0" t="s">
        <v>234</v>
      </c>
      <c r="D616" s="0" t="s">
        <v>75</v>
      </c>
      <c r="E616" s="0" t="n">
        <v>886</v>
      </c>
    </row>
    <row r="617" customFormat="false" ht="15" hidden="false" customHeight="false" outlineLevel="0" collapsed="false">
      <c r="A617" s="0" t="n">
        <v>2021</v>
      </c>
      <c r="B617" s="0" t="s">
        <v>233</v>
      </c>
      <c r="C617" s="0" t="s">
        <v>234</v>
      </c>
      <c r="D617" s="0" t="s">
        <v>75</v>
      </c>
      <c r="E617" s="0" t="n">
        <v>886</v>
      </c>
    </row>
    <row r="618" customFormat="false" ht="15" hidden="false" customHeight="false" outlineLevel="0" collapsed="false">
      <c r="A618" s="0" t="n">
        <v>2022</v>
      </c>
      <c r="B618" s="0" t="s">
        <v>233</v>
      </c>
      <c r="C618" s="0" t="s">
        <v>234</v>
      </c>
      <c r="D618" s="0" t="s">
        <v>75</v>
      </c>
      <c r="E618" s="0" t="n">
        <v>894</v>
      </c>
    </row>
    <row r="619" customFormat="false" ht="15" hidden="false" customHeight="false" outlineLevel="0" collapsed="false">
      <c r="A619" s="0" t="n">
        <v>2023</v>
      </c>
      <c r="B619" s="0" t="s">
        <v>233</v>
      </c>
      <c r="C619" s="0" t="s">
        <v>234</v>
      </c>
      <c r="D619" s="0" t="s">
        <v>75</v>
      </c>
      <c r="E619" s="0" t="n">
        <v>920</v>
      </c>
    </row>
    <row r="620" customFormat="false" ht="15" hidden="false" customHeight="false" outlineLevel="0" collapsed="false">
      <c r="A620" s="0" t="n">
        <v>2024</v>
      </c>
      <c r="B620" s="0" t="s">
        <v>233</v>
      </c>
      <c r="C620" s="0" t="s">
        <v>234</v>
      </c>
      <c r="D620" s="0" t="s">
        <v>75</v>
      </c>
      <c r="E620" s="0" t="n">
        <v>926</v>
      </c>
    </row>
    <row r="621" customFormat="false" ht="15" hidden="false" customHeight="false" outlineLevel="0" collapsed="false">
      <c r="A621" s="0" t="n">
        <v>2025</v>
      </c>
      <c r="B621" s="0" t="s">
        <v>233</v>
      </c>
      <c r="C621" s="0" t="s">
        <v>234</v>
      </c>
      <c r="D621" s="0" t="s">
        <v>75</v>
      </c>
      <c r="E621" s="0" t="n">
        <v>938</v>
      </c>
    </row>
    <row r="622" customFormat="false" ht="15" hidden="false" customHeight="false" outlineLevel="0" collapsed="false">
      <c r="A622" s="0" t="n">
        <v>2016</v>
      </c>
      <c r="B622" s="0" t="s">
        <v>246</v>
      </c>
      <c r="C622" s="0" t="s">
        <v>247</v>
      </c>
      <c r="D622" s="0" t="s">
        <v>72</v>
      </c>
      <c r="E622" s="0" t="n">
        <v>1197</v>
      </c>
    </row>
    <row r="623" customFormat="false" ht="15" hidden="false" customHeight="false" outlineLevel="0" collapsed="false">
      <c r="A623" s="0" t="n">
        <v>2017</v>
      </c>
      <c r="B623" s="0" t="s">
        <v>246</v>
      </c>
      <c r="C623" s="0" t="s">
        <v>247</v>
      </c>
      <c r="D623" s="0" t="s">
        <v>72</v>
      </c>
      <c r="E623" s="0" t="n">
        <v>1184</v>
      </c>
    </row>
    <row r="624" customFormat="false" ht="15" hidden="false" customHeight="false" outlineLevel="0" collapsed="false">
      <c r="A624" s="0" t="n">
        <v>2018</v>
      </c>
      <c r="B624" s="0" t="s">
        <v>246</v>
      </c>
      <c r="C624" s="0" t="s">
        <v>247</v>
      </c>
      <c r="D624" s="0" t="s">
        <v>72</v>
      </c>
      <c r="E624" s="0" t="n">
        <v>1179</v>
      </c>
    </row>
    <row r="625" customFormat="false" ht="15" hidden="false" customHeight="false" outlineLevel="0" collapsed="false">
      <c r="A625" s="0" t="n">
        <v>2019</v>
      </c>
      <c r="B625" s="0" t="s">
        <v>246</v>
      </c>
      <c r="C625" s="0" t="s">
        <v>247</v>
      </c>
      <c r="D625" s="0" t="s">
        <v>72</v>
      </c>
      <c r="E625" s="0" t="n">
        <v>1177</v>
      </c>
    </row>
    <row r="626" customFormat="false" ht="15" hidden="false" customHeight="false" outlineLevel="0" collapsed="false">
      <c r="A626" s="0" t="n">
        <v>2020</v>
      </c>
      <c r="B626" s="0" t="s">
        <v>246</v>
      </c>
      <c r="C626" s="0" t="s">
        <v>247</v>
      </c>
      <c r="D626" s="0" t="s">
        <v>72</v>
      </c>
      <c r="E626" s="0" t="n">
        <v>1174</v>
      </c>
    </row>
    <row r="627" customFormat="false" ht="15" hidden="false" customHeight="false" outlineLevel="0" collapsed="false">
      <c r="A627" s="0" t="n">
        <v>2021</v>
      </c>
      <c r="B627" s="0" t="s">
        <v>246</v>
      </c>
      <c r="C627" s="0" t="s">
        <v>247</v>
      </c>
      <c r="D627" s="0" t="s">
        <v>72</v>
      </c>
      <c r="E627" s="0" t="n">
        <v>1122</v>
      </c>
    </row>
    <row r="628" customFormat="false" ht="15" hidden="false" customHeight="false" outlineLevel="0" collapsed="false">
      <c r="A628" s="0" t="n">
        <v>2022</v>
      </c>
      <c r="B628" s="0" t="s">
        <v>246</v>
      </c>
      <c r="C628" s="0" t="s">
        <v>247</v>
      </c>
      <c r="D628" s="0" t="s">
        <v>72</v>
      </c>
      <c r="E628" s="0" t="n">
        <v>1083</v>
      </c>
    </row>
    <row r="629" customFormat="false" ht="15" hidden="false" customHeight="false" outlineLevel="0" collapsed="false">
      <c r="A629" s="0" t="n">
        <v>2023</v>
      </c>
      <c r="B629" s="0" t="s">
        <v>246</v>
      </c>
      <c r="C629" s="0" t="s">
        <v>247</v>
      </c>
      <c r="D629" s="0" t="s">
        <v>72</v>
      </c>
      <c r="E629" s="0" t="n">
        <v>1043</v>
      </c>
    </row>
    <row r="630" customFormat="false" ht="15" hidden="false" customHeight="false" outlineLevel="0" collapsed="false">
      <c r="A630" s="0" t="n">
        <v>2024</v>
      </c>
      <c r="B630" s="0" t="s">
        <v>246</v>
      </c>
      <c r="C630" s="0" t="s">
        <v>247</v>
      </c>
      <c r="D630" s="0" t="s">
        <v>72</v>
      </c>
      <c r="E630" s="0" t="n">
        <v>1021</v>
      </c>
    </row>
    <row r="631" customFormat="false" ht="15" hidden="false" customHeight="false" outlineLevel="0" collapsed="false">
      <c r="A631" s="0" t="n">
        <v>2025</v>
      </c>
      <c r="B631" s="0" t="s">
        <v>246</v>
      </c>
      <c r="C631" s="0" t="s">
        <v>247</v>
      </c>
      <c r="D631" s="0" t="s">
        <v>72</v>
      </c>
      <c r="E631" s="0" t="n">
        <v>1023</v>
      </c>
    </row>
    <row r="632" customFormat="false" ht="15" hidden="false" customHeight="false" outlineLevel="0" collapsed="false">
      <c r="A632" s="0" t="n">
        <v>2016</v>
      </c>
      <c r="B632" s="0" t="s">
        <v>231</v>
      </c>
      <c r="C632" s="0" t="s">
        <v>232</v>
      </c>
      <c r="D632" s="0" t="s">
        <v>72</v>
      </c>
      <c r="E632" s="0" t="n">
        <v>1291</v>
      </c>
    </row>
    <row r="633" customFormat="false" ht="15" hidden="false" customHeight="false" outlineLevel="0" collapsed="false">
      <c r="A633" s="0" t="n">
        <v>2017</v>
      </c>
      <c r="B633" s="0" t="s">
        <v>231</v>
      </c>
      <c r="C633" s="0" t="s">
        <v>232</v>
      </c>
      <c r="D633" s="0" t="s">
        <v>72</v>
      </c>
      <c r="E633" s="0" t="n">
        <v>1278</v>
      </c>
    </row>
    <row r="634" customFormat="false" ht="15" hidden="false" customHeight="false" outlineLevel="0" collapsed="false">
      <c r="A634" s="0" t="n">
        <v>2018</v>
      </c>
      <c r="B634" s="0" t="s">
        <v>231</v>
      </c>
      <c r="C634" s="0" t="s">
        <v>232</v>
      </c>
      <c r="D634" s="0" t="s">
        <v>72</v>
      </c>
      <c r="E634" s="0" t="n">
        <v>1255</v>
      </c>
    </row>
    <row r="635" customFormat="false" ht="15" hidden="false" customHeight="false" outlineLevel="0" collapsed="false">
      <c r="A635" s="0" t="n">
        <v>2019</v>
      </c>
      <c r="B635" s="0" t="s">
        <v>231</v>
      </c>
      <c r="C635" s="0" t="s">
        <v>232</v>
      </c>
      <c r="D635" s="0" t="s">
        <v>72</v>
      </c>
      <c r="E635" s="0" t="n">
        <v>1250</v>
      </c>
    </row>
    <row r="636" customFormat="false" ht="15" hidden="false" customHeight="false" outlineLevel="0" collapsed="false">
      <c r="A636" s="0" t="n">
        <v>2020</v>
      </c>
      <c r="B636" s="0" t="s">
        <v>231</v>
      </c>
      <c r="C636" s="0" t="s">
        <v>232</v>
      </c>
      <c r="D636" s="0" t="s">
        <v>72</v>
      </c>
      <c r="E636" s="0" t="n">
        <v>1245</v>
      </c>
    </row>
    <row r="637" customFormat="false" ht="15" hidden="false" customHeight="false" outlineLevel="0" collapsed="false">
      <c r="A637" s="0" t="n">
        <v>2021</v>
      </c>
      <c r="B637" s="0" t="s">
        <v>231</v>
      </c>
      <c r="C637" s="0" t="s">
        <v>232</v>
      </c>
      <c r="D637" s="0" t="s">
        <v>72</v>
      </c>
      <c r="E637" s="0" t="n">
        <v>1245</v>
      </c>
    </row>
    <row r="638" customFormat="false" ht="15" hidden="false" customHeight="false" outlineLevel="0" collapsed="false">
      <c r="A638" s="0" t="n">
        <v>2022</v>
      </c>
      <c r="B638" s="0" t="s">
        <v>231</v>
      </c>
      <c r="C638" s="0" t="s">
        <v>232</v>
      </c>
      <c r="D638" s="0" t="s">
        <v>72</v>
      </c>
      <c r="E638" s="0" t="n">
        <v>1243</v>
      </c>
    </row>
    <row r="639" customFormat="false" ht="15" hidden="false" customHeight="false" outlineLevel="0" collapsed="false">
      <c r="A639" s="0" t="n">
        <v>2023</v>
      </c>
      <c r="B639" s="0" t="s">
        <v>231</v>
      </c>
      <c r="C639" s="0" t="s">
        <v>232</v>
      </c>
      <c r="D639" s="0" t="s">
        <v>72</v>
      </c>
      <c r="E639" s="0" t="n">
        <v>1243</v>
      </c>
    </row>
    <row r="640" customFormat="false" ht="15" hidden="false" customHeight="false" outlineLevel="0" collapsed="false">
      <c r="A640" s="0" t="n">
        <v>2024</v>
      </c>
      <c r="B640" s="0" t="s">
        <v>231</v>
      </c>
      <c r="C640" s="0" t="s">
        <v>232</v>
      </c>
      <c r="D640" s="0" t="s">
        <v>72</v>
      </c>
      <c r="E640" s="0" t="n">
        <v>1245</v>
      </c>
    </row>
    <row r="641" customFormat="false" ht="15" hidden="false" customHeight="false" outlineLevel="0" collapsed="false">
      <c r="A641" s="0" t="n">
        <v>2025</v>
      </c>
      <c r="B641" s="0" t="s">
        <v>231</v>
      </c>
      <c r="C641" s="0" t="s">
        <v>232</v>
      </c>
      <c r="D641" s="0" t="s">
        <v>72</v>
      </c>
      <c r="E641" s="0" t="n">
        <v>1249</v>
      </c>
    </row>
    <row r="642" customFormat="false" ht="15" hidden="false" customHeight="false" outlineLevel="0" collapsed="false">
      <c r="A642" s="0" t="n">
        <v>2016</v>
      </c>
      <c r="B642" s="0" t="s">
        <v>244</v>
      </c>
      <c r="C642" s="0" t="s">
        <v>245</v>
      </c>
      <c r="D642" s="0" t="s">
        <v>74</v>
      </c>
      <c r="E642" s="0" t="n">
        <v>1169</v>
      </c>
    </row>
    <row r="643" customFormat="false" ht="15" hidden="false" customHeight="false" outlineLevel="0" collapsed="false">
      <c r="A643" s="0" t="n">
        <v>2017</v>
      </c>
      <c r="B643" s="0" t="s">
        <v>244</v>
      </c>
      <c r="C643" s="0" t="s">
        <v>245</v>
      </c>
      <c r="D643" s="0" t="s">
        <v>74</v>
      </c>
      <c r="E643" s="0" t="n">
        <v>1155</v>
      </c>
    </row>
    <row r="644" customFormat="false" ht="15" hidden="false" customHeight="false" outlineLevel="0" collapsed="false">
      <c r="A644" s="0" t="n">
        <v>2018</v>
      </c>
      <c r="B644" s="0" t="s">
        <v>244</v>
      </c>
      <c r="C644" s="0" t="s">
        <v>245</v>
      </c>
      <c r="D644" s="0" t="s">
        <v>74</v>
      </c>
      <c r="E644" s="0" t="n">
        <v>1130</v>
      </c>
    </row>
    <row r="645" customFormat="false" ht="15" hidden="false" customHeight="false" outlineLevel="0" collapsed="false">
      <c r="A645" s="0" t="n">
        <v>2019</v>
      </c>
      <c r="B645" s="0" t="s">
        <v>244</v>
      </c>
      <c r="C645" s="0" t="s">
        <v>245</v>
      </c>
      <c r="D645" s="0" t="s">
        <v>74</v>
      </c>
      <c r="E645" s="0" t="n">
        <v>1107</v>
      </c>
    </row>
    <row r="646" customFormat="false" ht="15" hidden="false" customHeight="false" outlineLevel="0" collapsed="false">
      <c r="A646" s="0" t="n">
        <v>2020</v>
      </c>
      <c r="B646" s="0" t="s">
        <v>244</v>
      </c>
      <c r="C646" s="0" t="s">
        <v>245</v>
      </c>
      <c r="D646" s="0" t="s">
        <v>74</v>
      </c>
      <c r="E646" s="0" t="n">
        <v>1094</v>
      </c>
    </row>
    <row r="647" customFormat="false" ht="15" hidden="false" customHeight="false" outlineLevel="0" collapsed="false">
      <c r="A647" s="0" t="n">
        <v>2021</v>
      </c>
      <c r="B647" s="0" t="s">
        <v>244</v>
      </c>
      <c r="C647" s="0" t="s">
        <v>245</v>
      </c>
      <c r="D647" s="0" t="s">
        <v>74</v>
      </c>
      <c r="E647" s="0" t="n">
        <v>1079</v>
      </c>
    </row>
    <row r="648" customFormat="false" ht="15" hidden="false" customHeight="false" outlineLevel="0" collapsed="false">
      <c r="A648" s="0" t="n">
        <v>2022</v>
      </c>
      <c r="B648" s="0" t="s">
        <v>244</v>
      </c>
      <c r="C648" s="0" t="s">
        <v>245</v>
      </c>
      <c r="D648" s="0" t="s">
        <v>74</v>
      </c>
      <c r="E648" s="0" t="n">
        <v>1085</v>
      </c>
    </row>
    <row r="649" customFormat="false" ht="15" hidden="false" customHeight="false" outlineLevel="0" collapsed="false">
      <c r="A649" s="0" t="n">
        <v>2023</v>
      </c>
      <c r="B649" s="0" t="s">
        <v>244</v>
      </c>
      <c r="C649" s="0" t="s">
        <v>245</v>
      </c>
      <c r="D649" s="0" t="s">
        <v>74</v>
      </c>
      <c r="E649" s="0" t="n">
        <v>1094</v>
      </c>
    </row>
    <row r="650" customFormat="false" ht="15" hidden="false" customHeight="false" outlineLevel="0" collapsed="false">
      <c r="A650" s="0" t="n">
        <v>2024</v>
      </c>
      <c r="B650" s="0" t="s">
        <v>244</v>
      </c>
      <c r="C650" s="0" t="s">
        <v>245</v>
      </c>
      <c r="D650" s="0" t="s">
        <v>74</v>
      </c>
      <c r="E650" s="0" t="n">
        <v>1106</v>
      </c>
    </row>
    <row r="651" customFormat="false" ht="15" hidden="false" customHeight="false" outlineLevel="0" collapsed="false">
      <c r="A651" s="0" t="n">
        <v>2025</v>
      </c>
      <c r="B651" s="0" t="s">
        <v>244</v>
      </c>
      <c r="C651" s="0" t="s">
        <v>245</v>
      </c>
      <c r="D651" s="0" t="s">
        <v>74</v>
      </c>
      <c r="E651" s="0" t="n">
        <v>1127</v>
      </c>
    </row>
    <row r="652" customFormat="false" ht="15" hidden="false" customHeight="false" outlineLevel="0" collapsed="false">
      <c r="A652" s="0" t="n">
        <v>2016</v>
      </c>
      <c r="B652" s="0" t="s">
        <v>239</v>
      </c>
      <c r="C652" s="0" t="s">
        <v>240</v>
      </c>
      <c r="D652" s="0" t="s">
        <v>73</v>
      </c>
      <c r="E652" s="0" t="n">
        <v>1096</v>
      </c>
    </row>
    <row r="653" customFormat="false" ht="15" hidden="false" customHeight="false" outlineLevel="0" collapsed="false">
      <c r="A653" s="0" t="n">
        <v>2017</v>
      </c>
      <c r="B653" s="0" t="s">
        <v>239</v>
      </c>
      <c r="C653" s="0" t="s">
        <v>240</v>
      </c>
      <c r="D653" s="0" t="s">
        <v>73</v>
      </c>
      <c r="E653" s="0" t="n">
        <v>1086</v>
      </c>
    </row>
    <row r="654" customFormat="false" ht="15" hidden="false" customHeight="false" outlineLevel="0" collapsed="false">
      <c r="A654" s="0" t="n">
        <v>2018</v>
      </c>
      <c r="B654" s="0" t="s">
        <v>239</v>
      </c>
      <c r="C654" s="0" t="s">
        <v>240</v>
      </c>
      <c r="D654" s="0" t="s">
        <v>73</v>
      </c>
      <c r="E654" s="0" t="n">
        <v>1074</v>
      </c>
    </row>
    <row r="655" customFormat="false" ht="15" hidden="false" customHeight="false" outlineLevel="0" collapsed="false">
      <c r="A655" s="0" t="n">
        <v>2019</v>
      </c>
      <c r="B655" s="0" t="s">
        <v>239</v>
      </c>
      <c r="C655" s="0" t="s">
        <v>240</v>
      </c>
      <c r="D655" s="0" t="s">
        <v>73</v>
      </c>
      <c r="E655" s="0" t="n">
        <v>1055</v>
      </c>
    </row>
    <row r="656" customFormat="false" ht="15" hidden="false" customHeight="false" outlineLevel="0" collapsed="false">
      <c r="A656" s="0" t="n">
        <v>2020</v>
      </c>
      <c r="B656" s="0" t="s">
        <v>239</v>
      </c>
      <c r="C656" s="0" t="s">
        <v>240</v>
      </c>
      <c r="D656" s="0" t="s">
        <v>73</v>
      </c>
      <c r="E656" s="0" t="n">
        <v>1042</v>
      </c>
    </row>
    <row r="657" customFormat="false" ht="15" hidden="false" customHeight="false" outlineLevel="0" collapsed="false">
      <c r="A657" s="0" t="n">
        <v>2021</v>
      </c>
      <c r="B657" s="0" t="s">
        <v>239</v>
      </c>
      <c r="C657" s="0" t="s">
        <v>240</v>
      </c>
      <c r="D657" s="0" t="s">
        <v>73</v>
      </c>
      <c r="E657" s="0" t="n">
        <v>924</v>
      </c>
    </row>
    <row r="658" customFormat="false" ht="15" hidden="false" customHeight="false" outlineLevel="0" collapsed="false">
      <c r="A658" s="0" t="n">
        <v>2022</v>
      </c>
      <c r="B658" s="0" t="s">
        <v>239</v>
      </c>
      <c r="C658" s="0" t="s">
        <v>240</v>
      </c>
      <c r="D658" s="0" t="s">
        <v>73</v>
      </c>
      <c r="E658" s="0" t="n">
        <v>914</v>
      </c>
    </row>
    <row r="659" customFormat="false" ht="15" hidden="false" customHeight="false" outlineLevel="0" collapsed="false">
      <c r="A659" s="0" t="n">
        <v>2023</v>
      </c>
      <c r="B659" s="0" t="s">
        <v>239</v>
      </c>
      <c r="C659" s="0" t="s">
        <v>240</v>
      </c>
      <c r="D659" s="0" t="s">
        <v>73</v>
      </c>
      <c r="E659" s="0" t="n">
        <v>904</v>
      </c>
    </row>
    <row r="660" customFormat="false" ht="15" hidden="false" customHeight="false" outlineLevel="0" collapsed="false">
      <c r="A660" s="0" t="n">
        <v>2024</v>
      </c>
      <c r="B660" s="0" t="s">
        <v>239</v>
      </c>
      <c r="C660" s="0" t="s">
        <v>240</v>
      </c>
      <c r="D660" s="0" t="s">
        <v>73</v>
      </c>
      <c r="E660" s="0" t="n">
        <v>897</v>
      </c>
    </row>
    <row r="661" customFormat="false" ht="15" hidden="false" customHeight="false" outlineLevel="0" collapsed="false">
      <c r="A661" s="0" t="n">
        <v>2025</v>
      </c>
      <c r="B661" s="0" t="s">
        <v>239</v>
      </c>
      <c r="C661" s="0" t="s">
        <v>240</v>
      </c>
      <c r="D661" s="0" t="s">
        <v>73</v>
      </c>
      <c r="E661" s="0" t="n">
        <v>893</v>
      </c>
    </row>
    <row r="662" customFormat="false" ht="15" hidden="false" customHeight="false" outlineLevel="0" collapsed="false">
      <c r="A662" s="0" t="n">
        <v>2016</v>
      </c>
      <c r="B662" s="0" t="s">
        <v>248</v>
      </c>
      <c r="C662" s="0" t="s">
        <v>249</v>
      </c>
      <c r="D662" s="0" t="s">
        <v>73</v>
      </c>
      <c r="E662" s="0" t="n">
        <v>1581</v>
      </c>
    </row>
    <row r="663" customFormat="false" ht="15" hidden="false" customHeight="false" outlineLevel="0" collapsed="false">
      <c r="A663" s="0" t="n">
        <v>2017</v>
      </c>
      <c r="B663" s="0" t="s">
        <v>248</v>
      </c>
      <c r="C663" s="0" t="s">
        <v>249</v>
      </c>
      <c r="D663" s="0" t="s">
        <v>73</v>
      </c>
      <c r="E663" s="0" t="n">
        <v>1557</v>
      </c>
    </row>
    <row r="664" customFormat="false" ht="15" hidden="false" customHeight="false" outlineLevel="0" collapsed="false">
      <c r="A664" s="0" t="n">
        <v>2018</v>
      </c>
      <c r="B664" s="0" t="s">
        <v>248</v>
      </c>
      <c r="C664" s="0" t="s">
        <v>249</v>
      </c>
      <c r="D664" s="0" t="s">
        <v>73</v>
      </c>
      <c r="E664" s="0" t="n">
        <v>1545</v>
      </c>
    </row>
    <row r="665" customFormat="false" ht="15" hidden="false" customHeight="false" outlineLevel="0" collapsed="false">
      <c r="A665" s="0" t="n">
        <v>2019</v>
      </c>
      <c r="B665" s="0" t="s">
        <v>248</v>
      </c>
      <c r="C665" s="0" t="s">
        <v>249</v>
      </c>
      <c r="D665" s="0" t="s">
        <v>73</v>
      </c>
      <c r="E665" s="0" t="n">
        <v>1493</v>
      </c>
    </row>
    <row r="666" customFormat="false" ht="15" hidden="false" customHeight="false" outlineLevel="0" collapsed="false">
      <c r="A666" s="0" t="n">
        <v>2020</v>
      </c>
      <c r="B666" s="0" t="s">
        <v>248</v>
      </c>
      <c r="C666" s="0" t="s">
        <v>249</v>
      </c>
      <c r="D666" s="0" t="s">
        <v>73</v>
      </c>
      <c r="E666" s="0" t="n">
        <v>1481</v>
      </c>
    </row>
    <row r="667" customFormat="false" ht="15" hidden="false" customHeight="false" outlineLevel="0" collapsed="false">
      <c r="A667" s="0" t="n">
        <v>2021</v>
      </c>
      <c r="B667" s="0" t="s">
        <v>248</v>
      </c>
      <c r="C667" s="0" t="s">
        <v>249</v>
      </c>
      <c r="D667" s="0" t="s">
        <v>73</v>
      </c>
      <c r="E667" s="0" t="n">
        <v>1467</v>
      </c>
    </row>
    <row r="668" customFormat="false" ht="15" hidden="false" customHeight="false" outlineLevel="0" collapsed="false">
      <c r="A668" s="0" t="n">
        <v>2022</v>
      </c>
      <c r="B668" s="0" t="s">
        <v>248</v>
      </c>
      <c r="C668" s="0" t="s">
        <v>249</v>
      </c>
      <c r="D668" s="0" t="s">
        <v>73</v>
      </c>
      <c r="E668" s="0" t="n">
        <v>1418</v>
      </c>
    </row>
    <row r="669" customFormat="false" ht="15" hidden="false" customHeight="false" outlineLevel="0" collapsed="false">
      <c r="A669" s="0" t="n">
        <v>2023</v>
      </c>
      <c r="B669" s="0" t="s">
        <v>248</v>
      </c>
      <c r="C669" s="0" t="s">
        <v>249</v>
      </c>
      <c r="D669" s="0" t="s">
        <v>73</v>
      </c>
      <c r="E669" s="0" t="n">
        <v>1455</v>
      </c>
    </row>
    <row r="670" customFormat="false" ht="15" hidden="false" customHeight="false" outlineLevel="0" collapsed="false">
      <c r="A670" s="0" t="n">
        <v>2024</v>
      </c>
      <c r="B670" s="0" t="s">
        <v>248</v>
      </c>
      <c r="C670" s="0" t="s">
        <v>249</v>
      </c>
      <c r="D670" s="0" t="s">
        <v>73</v>
      </c>
      <c r="E670" s="0" t="n">
        <v>1469</v>
      </c>
    </row>
    <row r="671" customFormat="false" ht="15" hidden="false" customHeight="false" outlineLevel="0" collapsed="false">
      <c r="A671" s="0" t="n">
        <v>2025</v>
      </c>
      <c r="B671" s="0" t="s">
        <v>248</v>
      </c>
      <c r="C671" s="0" t="s">
        <v>249</v>
      </c>
      <c r="D671" s="0" t="s">
        <v>73</v>
      </c>
      <c r="E671" s="0" t="n">
        <v>1494</v>
      </c>
    </row>
    <row r="672" customFormat="false" ht="15" hidden="false" customHeight="false" outlineLevel="0" collapsed="false">
      <c r="A672" s="0" t="n">
        <v>2016</v>
      </c>
      <c r="B672" s="0" t="s">
        <v>252</v>
      </c>
      <c r="C672" s="0" t="s">
        <v>253</v>
      </c>
      <c r="D672" s="0" t="s">
        <v>72</v>
      </c>
      <c r="E672" s="0" t="n">
        <v>899</v>
      </c>
    </row>
    <row r="673" customFormat="false" ht="15" hidden="false" customHeight="false" outlineLevel="0" collapsed="false">
      <c r="A673" s="0" t="n">
        <v>2017</v>
      </c>
      <c r="B673" s="0" t="s">
        <v>252</v>
      </c>
      <c r="C673" s="0" t="s">
        <v>253</v>
      </c>
      <c r="D673" s="0" t="s">
        <v>72</v>
      </c>
      <c r="E673" s="0" t="n">
        <v>874</v>
      </c>
    </row>
    <row r="674" customFormat="false" ht="15" hidden="false" customHeight="false" outlineLevel="0" collapsed="false">
      <c r="A674" s="0" t="n">
        <v>2018</v>
      </c>
      <c r="B674" s="0" t="s">
        <v>252</v>
      </c>
      <c r="C674" s="0" t="s">
        <v>253</v>
      </c>
      <c r="D674" s="0" t="s">
        <v>72</v>
      </c>
      <c r="E674" s="0" t="n">
        <v>866</v>
      </c>
    </row>
    <row r="675" customFormat="false" ht="15" hidden="false" customHeight="false" outlineLevel="0" collapsed="false">
      <c r="A675" s="0" t="n">
        <v>2019</v>
      </c>
      <c r="B675" s="0" t="s">
        <v>252</v>
      </c>
      <c r="C675" s="0" t="s">
        <v>253</v>
      </c>
      <c r="D675" s="0" t="s">
        <v>72</v>
      </c>
      <c r="E675" s="0" t="n">
        <v>864</v>
      </c>
    </row>
    <row r="676" customFormat="false" ht="15" hidden="false" customHeight="false" outlineLevel="0" collapsed="false">
      <c r="A676" s="0" t="n">
        <v>2020</v>
      </c>
      <c r="B676" s="0" t="s">
        <v>252</v>
      </c>
      <c r="C676" s="0" t="s">
        <v>253</v>
      </c>
      <c r="D676" s="0" t="s">
        <v>72</v>
      </c>
      <c r="E676" s="0" t="n">
        <v>861</v>
      </c>
    </row>
    <row r="677" customFormat="false" ht="15" hidden="false" customHeight="false" outlineLevel="0" collapsed="false">
      <c r="A677" s="0" t="n">
        <v>2021</v>
      </c>
      <c r="B677" s="0" t="s">
        <v>252</v>
      </c>
      <c r="C677" s="0" t="s">
        <v>253</v>
      </c>
      <c r="D677" s="0" t="s">
        <v>72</v>
      </c>
      <c r="E677" s="0" t="n">
        <v>862</v>
      </c>
    </row>
    <row r="678" customFormat="false" ht="15" hidden="false" customHeight="false" outlineLevel="0" collapsed="false">
      <c r="A678" s="0" t="n">
        <v>2022</v>
      </c>
      <c r="B678" s="0" t="s">
        <v>252</v>
      </c>
      <c r="C678" s="0" t="s">
        <v>253</v>
      </c>
      <c r="D678" s="0" t="s">
        <v>72</v>
      </c>
      <c r="E678" s="0" t="n">
        <v>867</v>
      </c>
    </row>
    <row r="679" customFormat="false" ht="15" hidden="false" customHeight="false" outlineLevel="0" collapsed="false">
      <c r="A679" s="0" t="n">
        <v>2023</v>
      </c>
      <c r="B679" s="0" t="s">
        <v>252</v>
      </c>
      <c r="C679" s="0" t="s">
        <v>253</v>
      </c>
      <c r="D679" s="0" t="s">
        <v>72</v>
      </c>
      <c r="E679" s="0" t="n">
        <v>867</v>
      </c>
    </row>
    <row r="680" customFormat="false" ht="15" hidden="false" customHeight="false" outlineLevel="0" collapsed="false">
      <c r="A680" s="0" t="n">
        <v>2024</v>
      </c>
      <c r="B680" s="0" t="s">
        <v>252</v>
      </c>
      <c r="C680" s="0" t="s">
        <v>253</v>
      </c>
      <c r="D680" s="0" t="s">
        <v>72</v>
      </c>
      <c r="E680" s="0" t="n">
        <v>872</v>
      </c>
    </row>
    <row r="681" customFormat="false" ht="15" hidden="false" customHeight="false" outlineLevel="0" collapsed="false">
      <c r="A681" s="0" t="n">
        <v>2025</v>
      </c>
      <c r="B681" s="0" t="s">
        <v>252</v>
      </c>
      <c r="C681" s="0" t="s">
        <v>253</v>
      </c>
      <c r="D681" s="0" t="s">
        <v>72</v>
      </c>
      <c r="E681" s="0" t="n">
        <v>877</v>
      </c>
    </row>
    <row r="682" customFormat="false" ht="15" hidden="false" customHeight="false" outlineLevel="0" collapsed="false">
      <c r="A682" s="0" t="n">
        <v>2016</v>
      </c>
      <c r="B682" s="0" t="s">
        <v>256</v>
      </c>
      <c r="C682" s="0" t="s">
        <v>257</v>
      </c>
      <c r="D682" s="0" t="s">
        <v>73</v>
      </c>
      <c r="E682" s="0" t="n">
        <v>2005</v>
      </c>
    </row>
    <row r="683" customFormat="false" ht="15" hidden="false" customHeight="false" outlineLevel="0" collapsed="false">
      <c r="A683" s="0" t="n">
        <v>2017</v>
      </c>
      <c r="B683" s="0" t="s">
        <v>256</v>
      </c>
      <c r="C683" s="0" t="s">
        <v>257</v>
      </c>
      <c r="D683" s="0" t="s">
        <v>73</v>
      </c>
      <c r="E683" s="0" t="n">
        <v>1870</v>
      </c>
    </row>
    <row r="684" customFormat="false" ht="15" hidden="false" customHeight="false" outlineLevel="0" collapsed="false">
      <c r="A684" s="0" t="n">
        <v>2018</v>
      </c>
      <c r="B684" s="0" t="s">
        <v>256</v>
      </c>
      <c r="C684" s="0" t="s">
        <v>257</v>
      </c>
      <c r="D684" s="0" t="s">
        <v>73</v>
      </c>
      <c r="E684" s="0" t="n">
        <v>1808</v>
      </c>
    </row>
    <row r="685" customFormat="false" ht="15" hidden="false" customHeight="false" outlineLevel="0" collapsed="false">
      <c r="A685" s="0" t="n">
        <v>2019</v>
      </c>
      <c r="B685" s="0" t="s">
        <v>256</v>
      </c>
      <c r="C685" s="0" t="s">
        <v>257</v>
      </c>
      <c r="D685" s="0" t="s">
        <v>73</v>
      </c>
      <c r="E685" s="0" t="n">
        <v>1728</v>
      </c>
    </row>
    <row r="686" customFormat="false" ht="15" hidden="false" customHeight="false" outlineLevel="0" collapsed="false">
      <c r="A686" s="0" t="n">
        <v>2020</v>
      </c>
      <c r="B686" s="0" t="s">
        <v>256</v>
      </c>
      <c r="C686" s="0" t="s">
        <v>257</v>
      </c>
      <c r="D686" s="0" t="s">
        <v>73</v>
      </c>
      <c r="E686" s="0" t="n">
        <v>1715</v>
      </c>
    </row>
    <row r="687" customFormat="false" ht="15" hidden="false" customHeight="false" outlineLevel="0" collapsed="false">
      <c r="A687" s="0" t="n">
        <v>2021</v>
      </c>
      <c r="B687" s="0" t="s">
        <v>256</v>
      </c>
      <c r="C687" s="0" t="s">
        <v>257</v>
      </c>
      <c r="D687" s="0" t="s">
        <v>73</v>
      </c>
      <c r="E687" s="0" t="n">
        <v>1705</v>
      </c>
    </row>
    <row r="688" customFormat="false" ht="15" hidden="false" customHeight="false" outlineLevel="0" collapsed="false">
      <c r="A688" s="0" t="n">
        <v>2022</v>
      </c>
      <c r="B688" s="0" t="s">
        <v>256</v>
      </c>
      <c r="C688" s="0" t="s">
        <v>257</v>
      </c>
      <c r="D688" s="0" t="s">
        <v>73</v>
      </c>
      <c r="E688" s="0" t="n">
        <v>1702</v>
      </c>
    </row>
    <row r="689" customFormat="false" ht="15" hidden="false" customHeight="false" outlineLevel="0" collapsed="false">
      <c r="A689" s="0" t="n">
        <v>2023</v>
      </c>
      <c r="B689" s="0" t="s">
        <v>256</v>
      </c>
      <c r="C689" s="0" t="s">
        <v>257</v>
      </c>
      <c r="D689" s="0" t="s">
        <v>73</v>
      </c>
      <c r="E689" s="0" t="n">
        <v>1699</v>
      </c>
    </row>
    <row r="690" customFormat="false" ht="15" hidden="false" customHeight="false" outlineLevel="0" collapsed="false">
      <c r="A690" s="0" t="n">
        <v>2024</v>
      </c>
      <c r="B690" s="0" t="s">
        <v>256</v>
      </c>
      <c r="C690" s="0" t="s">
        <v>257</v>
      </c>
      <c r="D690" s="0" t="s">
        <v>73</v>
      </c>
      <c r="E690" s="0" t="n">
        <v>1677</v>
      </c>
    </row>
    <row r="691" customFormat="false" ht="15" hidden="false" customHeight="false" outlineLevel="0" collapsed="false">
      <c r="A691" s="0" t="n">
        <v>2025</v>
      </c>
      <c r="B691" s="0" t="s">
        <v>256</v>
      </c>
      <c r="C691" s="0" t="s">
        <v>257</v>
      </c>
      <c r="D691" s="0" t="s">
        <v>73</v>
      </c>
      <c r="E691" s="0" t="n">
        <v>1680</v>
      </c>
    </row>
    <row r="692" customFormat="false" ht="15" hidden="false" customHeight="false" outlineLevel="0" collapsed="false">
      <c r="A692" s="0" t="n">
        <v>2016</v>
      </c>
      <c r="B692" s="0" t="s">
        <v>235</v>
      </c>
      <c r="C692" s="0" t="s">
        <v>236</v>
      </c>
      <c r="D692" s="0" t="s">
        <v>72</v>
      </c>
      <c r="E692" s="0" t="n">
        <v>1296</v>
      </c>
    </row>
    <row r="693" customFormat="false" ht="15" hidden="false" customHeight="false" outlineLevel="0" collapsed="false">
      <c r="A693" s="0" t="n">
        <v>2017</v>
      </c>
      <c r="B693" s="0" t="s">
        <v>235</v>
      </c>
      <c r="C693" s="0" t="s">
        <v>236</v>
      </c>
      <c r="D693" s="0" t="s">
        <v>72</v>
      </c>
      <c r="E693" s="0" t="n">
        <v>1228</v>
      </c>
    </row>
    <row r="694" customFormat="false" ht="15" hidden="false" customHeight="false" outlineLevel="0" collapsed="false">
      <c r="A694" s="0" t="n">
        <v>2018</v>
      </c>
      <c r="B694" s="0" t="s">
        <v>235</v>
      </c>
      <c r="C694" s="0" t="s">
        <v>236</v>
      </c>
      <c r="D694" s="0" t="s">
        <v>72</v>
      </c>
      <c r="E694" s="0" t="n">
        <v>1207</v>
      </c>
    </row>
    <row r="695" customFormat="false" ht="15" hidden="false" customHeight="false" outlineLevel="0" collapsed="false">
      <c r="A695" s="0" t="n">
        <v>2019</v>
      </c>
      <c r="B695" s="0" t="s">
        <v>235</v>
      </c>
      <c r="C695" s="0" t="s">
        <v>236</v>
      </c>
      <c r="D695" s="0" t="s">
        <v>72</v>
      </c>
      <c r="E695" s="0" t="n">
        <v>1210</v>
      </c>
    </row>
    <row r="696" customFormat="false" ht="15" hidden="false" customHeight="false" outlineLevel="0" collapsed="false">
      <c r="A696" s="0" t="n">
        <v>2020</v>
      </c>
      <c r="B696" s="0" t="s">
        <v>235</v>
      </c>
      <c r="C696" s="0" t="s">
        <v>236</v>
      </c>
      <c r="D696" s="0" t="s">
        <v>72</v>
      </c>
      <c r="E696" s="0" t="n">
        <v>1209</v>
      </c>
    </row>
    <row r="697" customFormat="false" ht="15" hidden="false" customHeight="false" outlineLevel="0" collapsed="false">
      <c r="A697" s="0" t="n">
        <v>2021</v>
      </c>
      <c r="B697" s="0" t="s">
        <v>235</v>
      </c>
      <c r="C697" s="0" t="s">
        <v>236</v>
      </c>
      <c r="D697" s="0" t="s">
        <v>72</v>
      </c>
      <c r="E697" s="0" t="n">
        <v>1195</v>
      </c>
    </row>
    <row r="698" customFormat="false" ht="15" hidden="false" customHeight="false" outlineLevel="0" collapsed="false">
      <c r="A698" s="0" t="n">
        <v>2022</v>
      </c>
      <c r="B698" s="0" t="s">
        <v>235</v>
      </c>
      <c r="C698" s="0" t="s">
        <v>236</v>
      </c>
      <c r="D698" s="0" t="s">
        <v>72</v>
      </c>
      <c r="E698" s="0" t="n">
        <v>1210</v>
      </c>
    </row>
    <row r="699" customFormat="false" ht="15" hidden="false" customHeight="false" outlineLevel="0" collapsed="false">
      <c r="A699" s="0" t="n">
        <v>2023</v>
      </c>
      <c r="B699" s="0" t="s">
        <v>235</v>
      </c>
      <c r="C699" s="0" t="s">
        <v>236</v>
      </c>
      <c r="D699" s="0" t="s">
        <v>72</v>
      </c>
      <c r="E699" s="0" t="n">
        <v>1234</v>
      </c>
    </row>
    <row r="700" customFormat="false" ht="15" hidden="false" customHeight="false" outlineLevel="0" collapsed="false">
      <c r="A700" s="0" t="n">
        <v>2024</v>
      </c>
      <c r="B700" s="0" t="s">
        <v>235</v>
      </c>
      <c r="C700" s="0" t="s">
        <v>236</v>
      </c>
      <c r="D700" s="0" t="s">
        <v>72</v>
      </c>
      <c r="E700" s="0" t="n">
        <v>1268</v>
      </c>
    </row>
    <row r="701" customFormat="false" ht="15" hidden="false" customHeight="false" outlineLevel="0" collapsed="false">
      <c r="A701" s="0" t="n">
        <v>2025</v>
      </c>
      <c r="B701" s="0" t="s">
        <v>235</v>
      </c>
      <c r="C701" s="0" t="s">
        <v>236</v>
      </c>
      <c r="D701" s="0" t="s">
        <v>72</v>
      </c>
      <c r="E701" s="0" t="n">
        <v>1309</v>
      </c>
    </row>
    <row r="702" customFormat="false" ht="15" hidden="false" customHeight="false" outlineLevel="0" collapsed="false">
      <c r="A702" s="0" t="n">
        <v>2016</v>
      </c>
      <c r="B702" s="0" t="s">
        <v>250</v>
      </c>
      <c r="C702" s="0" t="s">
        <v>251</v>
      </c>
      <c r="D702" s="0" t="s">
        <v>73</v>
      </c>
      <c r="E702" s="0" t="n">
        <v>1562</v>
      </c>
    </row>
    <row r="703" customFormat="false" ht="15" hidden="false" customHeight="false" outlineLevel="0" collapsed="false">
      <c r="A703" s="0" t="n">
        <v>2017</v>
      </c>
      <c r="B703" s="0" t="s">
        <v>250</v>
      </c>
      <c r="C703" s="0" t="s">
        <v>251</v>
      </c>
      <c r="D703" s="0" t="s">
        <v>73</v>
      </c>
      <c r="E703" s="0" t="n">
        <v>1511</v>
      </c>
    </row>
    <row r="704" customFormat="false" ht="15" hidden="false" customHeight="false" outlineLevel="0" collapsed="false">
      <c r="A704" s="0" t="n">
        <v>2018</v>
      </c>
      <c r="B704" s="0" t="s">
        <v>250</v>
      </c>
      <c r="C704" s="0" t="s">
        <v>251</v>
      </c>
      <c r="D704" s="0" t="s">
        <v>73</v>
      </c>
      <c r="E704" s="0" t="n">
        <v>1408</v>
      </c>
    </row>
    <row r="705" customFormat="false" ht="15" hidden="false" customHeight="false" outlineLevel="0" collapsed="false">
      <c r="A705" s="0" t="n">
        <v>2019</v>
      </c>
      <c r="B705" s="0" t="s">
        <v>250</v>
      </c>
      <c r="C705" s="0" t="s">
        <v>251</v>
      </c>
      <c r="D705" s="0" t="s">
        <v>73</v>
      </c>
      <c r="E705" s="0" t="n">
        <v>1387</v>
      </c>
    </row>
    <row r="706" customFormat="false" ht="15" hidden="false" customHeight="false" outlineLevel="0" collapsed="false">
      <c r="A706" s="0" t="n">
        <v>2020</v>
      </c>
      <c r="B706" s="0" t="s">
        <v>250</v>
      </c>
      <c r="C706" s="0" t="s">
        <v>251</v>
      </c>
      <c r="D706" s="0" t="s">
        <v>73</v>
      </c>
      <c r="E706" s="0" t="n">
        <v>1336</v>
      </c>
    </row>
    <row r="707" customFormat="false" ht="15" hidden="false" customHeight="false" outlineLevel="0" collapsed="false">
      <c r="A707" s="0" t="n">
        <v>2021</v>
      </c>
      <c r="B707" s="0" t="s">
        <v>250</v>
      </c>
      <c r="C707" s="0" t="s">
        <v>251</v>
      </c>
      <c r="D707" s="0" t="s">
        <v>73</v>
      </c>
      <c r="E707" s="0" t="n">
        <v>1312</v>
      </c>
    </row>
    <row r="708" customFormat="false" ht="15" hidden="false" customHeight="false" outlineLevel="0" collapsed="false">
      <c r="A708" s="0" t="n">
        <v>2022</v>
      </c>
      <c r="B708" s="0" t="s">
        <v>250</v>
      </c>
      <c r="C708" s="0" t="s">
        <v>251</v>
      </c>
      <c r="D708" s="0" t="s">
        <v>73</v>
      </c>
      <c r="E708" s="0" t="n">
        <v>1306</v>
      </c>
    </row>
    <row r="709" customFormat="false" ht="15" hidden="false" customHeight="false" outlineLevel="0" collapsed="false">
      <c r="A709" s="0" t="n">
        <v>2023</v>
      </c>
      <c r="B709" s="0" t="s">
        <v>250</v>
      </c>
      <c r="C709" s="0" t="s">
        <v>251</v>
      </c>
      <c r="D709" s="0" t="s">
        <v>73</v>
      </c>
      <c r="E709" s="0" t="n">
        <v>1320</v>
      </c>
    </row>
    <row r="710" customFormat="false" ht="15" hidden="false" customHeight="false" outlineLevel="0" collapsed="false">
      <c r="A710" s="0" t="n">
        <v>2024</v>
      </c>
      <c r="B710" s="0" t="s">
        <v>250</v>
      </c>
      <c r="C710" s="0" t="s">
        <v>251</v>
      </c>
      <c r="D710" s="0" t="s">
        <v>73</v>
      </c>
      <c r="E710" s="0" t="n">
        <v>1349</v>
      </c>
    </row>
    <row r="711" customFormat="false" ht="15" hidden="false" customHeight="false" outlineLevel="0" collapsed="false">
      <c r="A711" s="0" t="n">
        <v>2025</v>
      </c>
      <c r="B711" s="0" t="s">
        <v>250</v>
      </c>
      <c r="C711" s="0" t="s">
        <v>251</v>
      </c>
      <c r="D711" s="0" t="s">
        <v>73</v>
      </c>
      <c r="E711" s="0" t="n">
        <v>1339</v>
      </c>
    </row>
    <row r="712" customFormat="false" ht="15" hidden="false" customHeight="false" outlineLevel="0" collapsed="false">
      <c r="A712" s="0" t="n">
        <v>2016</v>
      </c>
      <c r="B712" s="0" t="s">
        <v>242</v>
      </c>
      <c r="C712" s="0" t="s">
        <v>243</v>
      </c>
      <c r="D712" s="0" t="s">
        <v>73</v>
      </c>
      <c r="E712" s="0" t="n">
        <v>1508</v>
      </c>
    </row>
    <row r="713" customFormat="false" ht="15" hidden="false" customHeight="false" outlineLevel="0" collapsed="false">
      <c r="A713" s="0" t="n">
        <v>2017</v>
      </c>
      <c r="B713" s="0" t="s">
        <v>242</v>
      </c>
      <c r="C713" s="0" t="s">
        <v>243</v>
      </c>
      <c r="D713" s="0" t="s">
        <v>73</v>
      </c>
      <c r="E713" s="0" t="n">
        <v>1499</v>
      </c>
    </row>
    <row r="714" customFormat="false" ht="15" hidden="false" customHeight="false" outlineLevel="0" collapsed="false">
      <c r="A714" s="0" t="n">
        <v>2018</v>
      </c>
      <c r="B714" s="0" t="s">
        <v>242</v>
      </c>
      <c r="C714" s="0" t="s">
        <v>243</v>
      </c>
      <c r="D714" s="0" t="s">
        <v>73</v>
      </c>
      <c r="E714" s="0" t="n">
        <v>1486</v>
      </c>
    </row>
    <row r="715" customFormat="false" ht="15" hidden="false" customHeight="false" outlineLevel="0" collapsed="false">
      <c r="A715" s="0" t="n">
        <v>2019</v>
      </c>
      <c r="B715" s="0" t="s">
        <v>242</v>
      </c>
      <c r="C715" s="0" t="s">
        <v>243</v>
      </c>
      <c r="D715" s="0" t="s">
        <v>73</v>
      </c>
      <c r="E715" s="0" t="n">
        <v>1448</v>
      </c>
    </row>
    <row r="716" customFormat="false" ht="15" hidden="false" customHeight="false" outlineLevel="0" collapsed="false">
      <c r="A716" s="0" t="n">
        <v>2020</v>
      </c>
      <c r="B716" s="0" t="s">
        <v>242</v>
      </c>
      <c r="C716" s="0" t="s">
        <v>243</v>
      </c>
      <c r="D716" s="0" t="s">
        <v>73</v>
      </c>
      <c r="E716" s="0" t="n">
        <v>1419</v>
      </c>
    </row>
    <row r="717" customFormat="false" ht="15" hidden="false" customHeight="false" outlineLevel="0" collapsed="false">
      <c r="A717" s="0" t="n">
        <v>2021</v>
      </c>
      <c r="B717" s="0" t="s">
        <v>242</v>
      </c>
      <c r="C717" s="0" t="s">
        <v>243</v>
      </c>
      <c r="D717" s="0" t="s">
        <v>73</v>
      </c>
      <c r="E717" s="0" t="n">
        <v>1382</v>
      </c>
    </row>
    <row r="718" customFormat="false" ht="15" hidden="false" customHeight="false" outlineLevel="0" collapsed="false">
      <c r="A718" s="0" t="n">
        <v>2022</v>
      </c>
      <c r="B718" s="0" t="s">
        <v>242</v>
      </c>
      <c r="C718" s="0" t="s">
        <v>243</v>
      </c>
      <c r="D718" s="0" t="s">
        <v>73</v>
      </c>
      <c r="E718" s="0" t="n">
        <v>1391</v>
      </c>
    </row>
    <row r="719" customFormat="false" ht="15" hidden="false" customHeight="false" outlineLevel="0" collapsed="false">
      <c r="A719" s="0" t="n">
        <v>2023</v>
      </c>
      <c r="B719" s="0" t="s">
        <v>242</v>
      </c>
      <c r="C719" s="0" t="s">
        <v>243</v>
      </c>
      <c r="D719" s="0" t="s">
        <v>73</v>
      </c>
      <c r="E719" s="0" t="n">
        <v>1400</v>
      </c>
    </row>
    <row r="720" customFormat="false" ht="15" hidden="false" customHeight="false" outlineLevel="0" collapsed="false">
      <c r="A720" s="0" t="n">
        <v>2024</v>
      </c>
      <c r="B720" s="0" t="s">
        <v>242</v>
      </c>
      <c r="C720" s="0" t="s">
        <v>243</v>
      </c>
      <c r="D720" s="0" t="s">
        <v>73</v>
      </c>
      <c r="E720" s="0" t="n">
        <v>1408</v>
      </c>
    </row>
    <row r="721" customFormat="false" ht="15" hidden="false" customHeight="false" outlineLevel="0" collapsed="false">
      <c r="A721" s="0" t="n">
        <v>2025</v>
      </c>
      <c r="B721" s="0" t="s">
        <v>242</v>
      </c>
      <c r="C721" s="0" t="s">
        <v>243</v>
      </c>
      <c r="D721" s="0" t="s">
        <v>73</v>
      </c>
      <c r="E721" s="0" t="n">
        <v>1417</v>
      </c>
    </row>
    <row r="722" customFormat="false" ht="15" hidden="false" customHeight="false" outlineLevel="0" collapsed="false">
      <c r="A722" s="0" t="n">
        <v>2016</v>
      </c>
      <c r="B722" s="0" t="s">
        <v>237</v>
      </c>
      <c r="C722" s="0" t="s">
        <v>238</v>
      </c>
      <c r="D722" s="0" t="s">
        <v>72</v>
      </c>
      <c r="E722" s="0" t="n">
        <v>1162</v>
      </c>
    </row>
    <row r="723" customFormat="false" ht="15" hidden="false" customHeight="false" outlineLevel="0" collapsed="false">
      <c r="A723" s="0" t="n">
        <v>2017</v>
      </c>
      <c r="B723" s="0" t="s">
        <v>237</v>
      </c>
      <c r="C723" s="0" t="s">
        <v>238</v>
      </c>
      <c r="D723" s="0" t="s">
        <v>72</v>
      </c>
      <c r="E723" s="0" t="n">
        <v>1176</v>
      </c>
    </row>
    <row r="724" customFormat="false" ht="15" hidden="false" customHeight="false" outlineLevel="0" collapsed="false">
      <c r="A724" s="0" t="n">
        <v>2018</v>
      </c>
      <c r="B724" s="0" t="s">
        <v>237</v>
      </c>
      <c r="C724" s="0" t="s">
        <v>238</v>
      </c>
      <c r="D724" s="0" t="s">
        <v>72</v>
      </c>
      <c r="E724" s="0" t="n">
        <v>1165</v>
      </c>
    </row>
    <row r="725" customFormat="false" ht="15" hidden="false" customHeight="false" outlineLevel="0" collapsed="false">
      <c r="A725" s="0" t="n">
        <v>2019</v>
      </c>
      <c r="B725" s="0" t="s">
        <v>237</v>
      </c>
      <c r="C725" s="0" t="s">
        <v>238</v>
      </c>
      <c r="D725" s="0" t="s">
        <v>72</v>
      </c>
      <c r="E725" s="0" t="n">
        <v>1148</v>
      </c>
    </row>
    <row r="726" customFormat="false" ht="15" hidden="false" customHeight="false" outlineLevel="0" collapsed="false">
      <c r="A726" s="0" t="n">
        <v>2020</v>
      </c>
      <c r="B726" s="0" t="s">
        <v>237</v>
      </c>
      <c r="C726" s="0" t="s">
        <v>238</v>
      </c>
      <c r="D726" s="0" t="s">
        <v>72</v>
      </c>
      <c r="E726" s="0" t="n">
        <v>1141</v>
      </c>
    </row>
    <row r="727" customFormat="false" ht="15" hidden="false" customHeight="false" outlineLevel="0" collapsed="false">
      <c r="A727" s="0" t="n">
        <v>2021</v>
      </c>
      <c r="B727" s="0" t="s">
        <v>237</v>
      </c>
      <c r="C727" s="0" t="s">
        <v>238</v>
      </c>
      <c r="D727" s="0" t="s">
        <v>72</v>
      </c>
      <c r="E727" s="0" t="n">
        <v>1131</v>
      </c>
    </row>
    <row r="728" customFormat="false" ht="15" hidden="false" customHeight="false" outlineLevel="0" collapsed="false">
      <c r="A728" s="0" t="n">
        <v>2022</v>
      </c>
      <c r="B728" s="0" t="s">
        <v>237</v>
      </c>
      <c r="C728" s="0" t="s">
        <v>238</v>
      </c>
      <c r="D728" s="0" t="s">
        <v>72</v>
      </c>
      <c r="E728" s="0" t="n">
        <v>1118</v>
      </c>
    </row>
    <row r="729" customFormat="false" ht="15" hidden="false" customHeight="false" outlineLevel="0" collapsed="false">
      <c r="A729" s="0" t="n">
        <v>2023</v>
      </c>
      <c r="B729" s="0" t="s">
        <v>237</v>
      </c>
      <c r="C729" s="0" t="s">
        <v>238</v>
      </c>
      <c r="D729" s="0" t="s">
        <v>72</v>
      </c>
      <c r="E729" s="0" t="n">
        <v>1123</v>
      </c>
    </row>
    <row r="730" customFormat="false" ht="15" hidden="false" customHeight="false" outlineLevel="0" collapsed="false">
      <c r="A730" s="0" t="n">
        <v>2024</v>
      </c>
      <c r="B730" s="0" t="s">
        <v>237</v>
      </c>
      <c r="C730" s="0" t="s">
        <v>238</v>
      </c>
      <c r="D730" s="0" t="s">
        <v>72</v>
      </c>
      <c r="E730" s="0" t="n">
        <v>1131</v>
      </c>
    </row>
    <row r="731" customFormat="false" ht="15" hidden="false" customHeight="false" outlineLevel="0" collapsed="false">
      <c r="A731" s="0" t="n">
        <v>2025</v>
      </c>
      <c r="B731" s="0" t="s">
        <v>237</v>
      </c>
      <c r="C731" s="0" t="s">
        <v>238</v>
      </c>
      <c r="D731" s="0" t="s">
        <v>72</v>
      </c>
      <c r="E731" s="0" t="n">
        <v>1152</v>
      </c>
    </row>
    <row r="732" customFormat="false" ht="15" hidden="false" customHeight="false" outlineLevel="0" collapsed="false">
      <c r="A732" s="0" t="n">
        <v>2016</v>
      </c>
      <c r="B732" s="0" t="s">
        <v>254</v>
      </c>
      <c r="C732" s="0" t="s">
        <v>255</v>
      </c>
      <c r="D732" s="0" t="s">
        <v>74</v>
      </c>
      <c r="E732" s="0" t="n">
        <v>726</v>
      </c>
    </row>
    <row r="733" customFormat="false" ht="15" hidden="false" customHeight="false" outlineLevel="0" collapsed="false">
      <c r="A733" s="0" t="n">
        <v>2017</v>
      </c>
      <c r="B733" s="0" t="s">
        <v>254</v>
      </c>
      <c r="C733" s="0" t="s">
        <v>255</v>
      </c>
      <c r="D733" s="0" t="s">
        <v>74</v>
      </c>
      <c r="E733" s="0" t="n">
        <v>723</v>
      </c>
    </row>
    <row r="734" customFormat="false" ht="15" hidden="false" customHeight="false" outlineLevel="0" collapsed="false">
      <c r="A734" s="0" t="n">
        <v>2018</v>
      </c>
      <c r="B734" s="0" t="s">
        <v>254</v>
      </c>
      <c r="C734" s="0" t="s">
        <v>255</v>
      </c>
      <c r="D734" s="0" t="s">
        <v>74</v>
      </c>
      <c r="E734" s="0" t="n">
        <v>719</v>
      </c>
    </row>
    <row r="735" customFormat="false" ht="15" hidden="false" customHeight="false" outlineLevel="0" collapsed="false">
      <c r="A735" s="0" t="n">
        <v>2019</v>
      </c>
      <c r="B735" s="0" t="s">
        <v>254</v>
      </c>
      <c r="C735" s="0" t="s">
        <v>255</v>
      </c>
      <c r="D735" s="0" t="s">
        <v>74</v>
      </c>
      <c r="E735" s="0" t="n">
        <v>708</v>
      </c>
    </row>
    <row r="736" customFormat="false" ht="15" hidden="false" customHeight="false" outlineLevel="0" collapsed="false">
      <c r="A736" s="0" t="n">
        <v>2020</v>
      </c>
      <c r="B736" s="0" t="s">
        <v>254</v>
      </c>
      <c r="C736" s="0" t="s">
        <v>255</v>
      </c>
      <c r="D736" s="0" t="s">
        <v>74</v>
      </c>
      <c r="E736" s="0" t="n">
        <v>660</v>
      </c>
    </row>
    <row r="737" customFormat="false" ht="15" hidden="false" customHeight="false" outlineLevel="0" collapsed="false">
      <c r="A737" s="0" t="n">
        <v>2021</v>
      </c>
      <c r="B737" s="0" t="s">
        <v>254</v>
      </c>
      <c r="C737" s="0" t="s">
        <v>255</v>
      </c>
      <c r="D737" s="0" t="s">
        <v>74</v>
      </c>
      <c r="E737" s="0" t="n">
        <v>636</v>
      </c>
    </row>
    <row r="738" customFormat="false" ht="15" hidden="false" customHeight="false" outlineLevel="0" collapsed="false">
      <c r="A738" s="0" t="n">
        <v>2022</v>
      </c>
      <c r="B738" s="0" t="s">
        <v>254</v>
      </c>
      <c r="C738" s="0" t="s">
        <v>255</v>
      </c>
      <c r="D738" s="0" t="s">
        <v>74</v>
      </c>
      <c r="E738" s="0" t="n">
        <v>635</v>
      </c>
    </row>
    <row r="739" customFormat="false" ht="15" hidden="false" customHeight="false" outlineLevel="0" collapsed="false">
      <c r="A739" s="0" t="n">
        <v>2023</v>
      </c>
      <c r="B739" s="0" t="s">
        <v>254</v>
      </c>
      <c r="C739" s="0" t="s">
        <v>255</v>
      </c>
      <c r="D739" s="0" t="s">
        <v>74</v>
      </c>
      <c r="E739" s="0" t="n">
        <v>634</v>
      </c>
    </row>
    <row r="740" customFormat="false" ht="15" hidden="false" customHeight="false" outlineLevel="0" collapsed="false">
      <c r="A740" s="0" t="n">
        <v>2024</v>
      </c>
      <c r="B740" s="0" t="s">
        <v>254</v>
      </c>
      <c r="C740" s="0" t="s">
        <v>255</v>
      </c>
      <c r="D740" s="0" t="s">
        <v>74</v>
      </c>
      <c r="E740" s="0" t="n">
        <v>646</v>
      </c>
    </row>
    <row r="741" customFormat="false" ht="15" hidden="false" customHeight="false" outlineLevel="0" collapsed="false">
      <c r="A741" s="0" t="n">
        <v>2025</v>
      </c>
      <c r="B741" s="0" t="s">
        <v>254</v>
      </c>
      <c r="C741" s="0" t="s">
        <v>255</v>
      </c>
      <c r="D741" s="0" t="s">
        <v>74</v>
      </c>
      <c r="E741" s="0" t="n">
        <v>642</v>
      </c>
    </row>
    <row r="742" customFormat="false" ht="15" hidden="false" customHeight="false" outlineLevel="0" collapsed="false">
      <c r="A742" s="0" t="n">
        <v>2016</v>
      </c>
      <c r="B742" s="0" t="s">
        <v>260</v>
      </c>
      <c r="C742" s="0" t="s">
        <v>261</v>
      </c>
      <c r="D742" s="0" t="s">
        <v>72</v>
      </c>
      <c r="E742" s="0" t="n">
        <v>1548</v>
      </c>
    </row>
    <row r="743" customFormat="false" ht="15" hidden="false" customHeight="false" outlineLevel="0" collapsed="false">
      <c r="A743" s="0" t="n">
        <v>2017</v>
      </c>
      <c r="B743" s="0" t="s">
        <v>260</v>
      </c>
      <c r="C743" s="0" t="s">
        <v>261</v>
      </c>
      <c r="D743" s="0" t="s">
        <v>72</v>
      </c>
      <c r="E743" s="0" t="n">
        <v>1536</v>
      </c>
    </row>
    <row r="744" customFormat="false" ht="15" hidden="false" customHeight="false" outlineLevel="0" collapsed="false">
      <c r="A744" s="0" t="n">
        <v>2018</v>
      </c>
      <c r="B744" s="0" t="s">
        <v>260</v>
      </c>
      <c r="C744" s="0" t="s">
        <v>261</v>
      </c>
      <c r="D744" s="0" t="s">
        <v>72</v>
      </c>
      <c r="E744" s="0" t="n">
        <v>1534</v>
      </c>
    </row>
    <row r="745" customFormat="false" ht="15" hidden="false" customHeight="false" outlineLevel="0" collapsed="false">
      <c r="A745" s="0" t="n">
        <v>2019</v>
      </c>
      <c r="B745" s="0" t="s">
        <v>260</v>
      </c>
      <c r="C745" s="0" t="s">
        <v>261</v>
      </c>
      <c r="D745" s="0" t="s">
        <v>72</v>
      </c>
      <c r="E745" s="0" t="n">
        <v>1536</v>
      </c>
    </row>
    <row r="746" customFormat="false" ht="15" hidden="false" customHeight="false" outlineLevel="0" collapsed="false">
      <c r="A746" s="0" t="n">
        <v>2020</v>
      </c>
      <c r="B746" s="0" t="s">
        <v>260</v>
      </c>
      <c r="C746" s="0" t="s">
        <v>261</v>
      </c>
      <c r="D746" s="0" t="s">
        <v>72</v>
      </c>
      <c r="E746" s="0" t="n">
        <v>1530</v>
      </c>
    </row>
    <row r="747" customFormat="false" ht="15" hidden="false" customHeight="false" outlineLevel="0" collapsed="false">
      <c r="A747" s="0" t="n">
        <v>2021</v>
      </c>
      <c r="B747" s="0" t="s">
        <v>260</v>
      </c>
      <c r="C747" s="0" t="s">
        <v>261</v>
      </c>
      <c r="D747" s="0" t="s">
        <v>72</v>
      </c>
      <c r="E747" s="0" t="n">
        <v>1524</v>
      </c>
    </row>
    <row r="748" customFormat="false" ht="15" hidden="false" customHeight="false" outlineLevel="0" collapsed="false">
      <c r="A748" s="0" t="n">
        <v>2022</v>
      </c>
      <c r="B748" s="0" t="s">
        <v>260</v>
      </c>
      <c r="C748" s="0" t="s">
        <v>261</v>
      </c>
      <c r="D748" s="0" t="s">
        <v>72</v>
      </c>
      <c r="E748" s="0" t="n">
        <v>1537</v>
      </c>
    </row>
    <row r="749" customFormat="false" ht="15" hidden="false" customHeight="false" outlineLevel="0" collapsed="false">
      <c r="A749" s="0" t="n">
        <v>2023</v>
      </c>
      <c r="B749" s="0" t="s">
        <v>260</v>
      </c>
      <c r="C749" s="0" t="s">
        <v>261</v>
      </c>
      <c r="D749" s="0" t="s">
        <v>72</v>
      </c>
      <c r="E749" s="0" t="n">
        <v>1564</v>
      </c>
    </row>
    <row r="750" customFormat="false" ht="15" hidden="false" customHeight="false" outlineLevel="0" collapsed="false">
      <c r="A750" s="0" t="n">
        <v>2024</v>
      </c>
      <c r="B750" s="0" t="s">
        <v>260</v>
      </c>
      <c r="C750" s="0" t="s">
        <v>261</v>
      </c>
      <c r="D750" s="0" t="s">
        <v>72</v>
      </c>
      <c r="E750" s="0" t="n">
        <v>1627</v>
      </c>
    </row>
    <row r="751" customFormat="false" ht="15" hidden="false" customHeight="false" outlineLevel="0" collapsed="false">
      <c r="A751" s="0" t="n">
        <v>2025</v>
      </c>
      <c r="B751" s="0" t="s">
        <v>260</v>
      </c>
      <c r="C751" s="0" t="s">
        <v>261</v>
      </c>
      <c r="D751" s="0" t="s">
        <v>72</v>
      </c>
      <c r="E751" s="0" t="n">
        <v>1651</v>
      </c>
    </row>
    <row r="752" customFormat="false" ht="15" hidden="false" customHeight="false" outlineLevel="0" collapsed="false">
      <c r="A752" s="0" t="n">
        <v>2016</v>
      </c>
      <c r="B752" s="0" t="s">
        <v>262</v>
      </c>
      <c r="C752" s="0" t="s">
        <v>263</v>
      </c>
      <c r="D752" s="0" t="s">
        <v>74</v>
      </c>
      <c r="E752" s="0" t="n">
        <v>683</v>
      </c>
    </row>
    <row r="753" customFormat="false" ht="15" hidden="false" customHeight="false" outlineLevel="0" collapsed="false">
      <c r="A753" s="0" t="n">
        <v>2017</v>
      </c>
      <c r="B753" s="0" t="s">
        <v>262</v>
      </c>
      <c r="C753" s="0" t="s">
        <v>263</v>
      </c>
      <c r="D753" s="0" t="s">
        <v>74</v>
      </c>
      <c r="E753" s="0" t="n">
        <v>666</v>
      </c>
    </row>
    <row r="754" customFormat="false" ht="15" hidden="false" customHeight="false" outlineLevel="0" collapsed="false">
      <c r="A754" s="0" t="n">
        <v>2018</v>
      </c>
      <c r="B754" s="0" t="s">
        <v>262</v>
      </c>
      <c r="C754" s="0" t="s">
        <v>263</v>
      </c>
      <c r="D754" s="0" t="s">
        <v>74</v>
      </c>
      <c r="E754" s="0" t="n">
        <v>649</v>
      </c>
    </row>
    <row r="755" customFormat="false" ht="15" hidden="false" customHeight="false" outlineLevel="0" collapsed="false">
      <c r="A755" s="0" t="n">
        <v>2019</v>
      </c>
      <c r="B755" s="0" t="s">
        <v>262</v>
      </c>
      <c r="C755" s="0" t="s">
        <v>263</v>
      </c>
      <c r="D755" s="0" t="s">
        <v>74</v>
      </c>
      <c r="E755" s="0" t="n">
        <v>647</v>
      </c>
    </row>
    <row r="756" customFormat="false" ht="15" hidden="false" customHeight="false" outlineLevel="0" collapsed="false">
      <c r="A756" s="0" t="n">
        <v>2020</v>
      </c>
      <c r="B756" s="0" t="s">
        <v>262</v>
      </c>
      <c r="C756" s="0" t="s">
        <v>263</v>
      </c>
      <c r="D756" s="0" t="s">
        <v>74</v>
      </c>
      <c r="E756" s="0" t="n">
        <v>644</v>
      </c>
    </row>
    <row r="757" customFormat="false" ht="15" hidden="false" customHeight="false" outlineLevel="0" collapsed="false">
      <c r="A757" s="0" t="n">
        <v>2021</v>
      </c>
      <c r="B757" s="0" t="s">
        <v>262</v>
      </c>
      <c r="C757" s="0" t="s">
        <v>263</v>
      </c>
      <c r="D757" s="0" t="s">
        <v>74</v>
      </c>
      <c r="E757" s="0" t="n">
        <v>642</v>
      </c>
    </row>
    <row r="758" customFormat="false" ht="15" hidden="false" customHeight="false" outlineLevel="0" collapsed="false">
      <c r="A758" s="0" t="n">
        <v>2022</v>
      </c>
      <c r="B758" s="0" t="s">
        <v>262</v>
      </c>
      <c r="C758" s="0" t="s">
        <v>263</v>
      </c>
      <c r="D758" s="0" t="s">
        <v>74</v>
      </c>
      <c r="E758" s="0" t="n">
        <v>641</v>
      </c>
    </row>
    <row r="759" customFormat="false" ht="15" hidden="false" customHeight="false" outlineLevel="0" collapsed="false">
      <c r="A759" s="0" t="n">
        <v>2023</v>
      </c>
      <c r="B759" s="0" t="s">
        <v>262</v>
      </c>
      <c r="C759" s="0" t="s">
        <v>263</v>
      </c>
      <c r="D759" s="0" t="s">
        <v>74</v>
      </c>
      <c r="E759" s="0" t="n">
        <v>640</v>
      </c>
    </row>
    <row r="760" customFormat="false" ht="15" hidden="false" customHeight="false" outlineLevel="0" collapsed="false">
      <c r="A760" s="0" t="n">
        <v>2024</v>
      </c>
      <c r="B760" s="0" t="s">
        <v>262</v>
      </c>
      <c r="C760" s="0" t="s">
        <v>263</v>
      </c>
      <c r="D760" s="0" t="s">
        <v>74</v>
      </c>
      <c r="E760" s="0" t="n">
        <v>639</v>
      </c>
    </row>
    <row r="761" customFormat="false" ht="15" hidden="false" customHeight="false" outlineLevel="0" collapsed="false">
      <c r="A761" s="0" t="n">
        <v>2025</v>
      </c>
      <c r="B761" s="0" t="s">
        <v>262</v>
      </c>
      <c r="C761" s="0" t="s">
        <v>263</v>
      </c>
      <c r="D761" s="0" t="s">
        <v>74</v>
      </c>
      <c r="E761" s="0" t="n">
        <v>638</v>
      </c>
    </row>
    <row r="762" customFormat="false" ht="15" hidden="false" customHeight="false" outlineLevel="0" collapsed="false">
      <c r="A762" s="0" t="n">
        <v>2016</v>
      </c>
      <c r="B762" s="0" t="s">
        <v>264</v>
      </c>
      <c r="C762" s="0" t="s">
        <v>265</v>
      </c>
      <c r="D762" s="0" t="s">
        <v>72</v>
      </c>
      <c r="E762" s="0" t="n">
        <v>1058</v>
      </c>
    </row>
    <row r="763" customFormat="false" ht="15" hidden="false" customHeight="false" outlineLevel="0" collapsed="false">
      <c r="A763" s="0" t="n">
        <v>2017</v>
      </c>
      <c r="B763" s="0" t="s">
        <v>264</v>
      </c>
      <c r="C763" s="0" t="s">
        <v>265</v>
      </c>
      <c r="D763" s="0" t="s">
        <v>72</v>
      </c>
      <c r="E763" s="0" t="n">
        <v>1058</v>
      </c>
    </row>
    <row r="764" customFormat="false" ht="15" hidden="false" customHeight="false" outlineLevel="0" collapsed="false">
      <c r="A764" s="0" t="n">
        <v>2018</v>
      </c>
      <c r="B764" s="0" t="s">
        <v>264</v>
      </c>
      <c r="C764" s="0" t="s">
        <v>265</v>
      </c>
      <c r="D764" s="0" t="s">
        <v>72</v>
      </c>
      <c r="E764" s="0" t="n">
        <v>1058</v>
      </c>
    </row>
    <row r="765" customFormat="false" ht="15" hidden="false" customHeight="false" outlineLevel="0" collapsed="false">
      <c r="A765" s="0" t="n">
        <v>2019</v>
      </c>
      <c r="B765" s="0" t="s">
        <v>264</v>
      </c>
      <c r="C765" s="0" t="s">
        <v>265</v>
      </c>
      <c r="D765" s="0" t="s">
        <v>72</v>
      </c>
      <c r="E765" s="0" t="n">
        <v>1057</v>
      </c>
    </row>
    <row r="766" customFormat="false" ht="15" hidden="false" customHeight="false" outlineLevel="0" collapsed="false">
      <c r="A766" s="0" t="n">
        <v>2020</v>
      </c>
      <c r="B766" s="0" t="s">
        <v>264</v>
      </c>
      <c r="C766" s="0" t="s">
        <v>265</v>
      </c>
      <c r="D766" s="0" t="s">
        <v>72</v>
      </c>
      <c r="E766" s="0" t="n">
        <v>1057</v>
      </c>
    </row>
    <row r="767" customFormat="false" ht="15" hidden="false" customHeight="false" outlineLevel="0" collapsed="false">
      <c r="A767" s="0" t="n">
        <v>2021</v>
      </c>
      <c r="B767" s="0" t="s">
        <v>264</v>
      </c>
      <c r="C767" s="0" t="s">
        <v>265</v>
      </c>
      <c r="D767" s="0" t="s">
        <v>72</v>
      </c>
      <c r="E767" s="0" t="n">
        <v>1052</v>
      </c>
    </row>
    <row r="768" customFormat="false" ht="15" hidden="false" customHeight="false" outlineLevel="0" collapsed="false">
      <c r="A768" s="0" t="n">
        <v>2022</v>
      </c>
      <c r="B768" s="0" t="s">
        <v>264</v>
      </c>
      <c r="C768" s="0" t="s">
        <v>265</v>
      </c>
      <c r="D768" s="0" t="s">
        <v>72</v>
      </c>
      <c r="E768" s="0" t="n">
        <v>1068</v>
      </c>
    </row>
    <row r="769" customFormat="false" ht="15" hidden="false" customHeight="false" outlineLevel="0" collapsed="false">
      <c r="A769" s="0" t="n">
        <v>2023</v>
      </c>
      <c r="B769" s="0" t="s">
        <v>264</v>
      </c>
      <c r="C769" s="0" t="s">
        <v>265</v>
      </c>
      <c r="D769" s="0" t="s">
        <v>72</v>
      </c>
      <c r="E769" s="0" t="n">
        <v>1083</v>
      </c>
    </row>
    <row r="770" customFormat="false" ht="15" hidden="false" customHeight="false" outlineLevel="0" collapsed="false">
      <c r="A770" s="0" t="n">
        <v>2024</v>
      </c>
      <c r="B770" s="0" t="s">
        <v>264</v>
      </c>
      <c r="C770" s="0" t="s">
        <v>265</v>
      </c>
      <c r="D770" s="0" t="s">
        <v>72</v>
      </c>
      <c r="E770" s="0" t="n">
        <v>1098</v>
      </c>
    </row>
    <row r="771" customFormat="false" ht="15" hidden="false" customHeight="false" outlineLevel="0" collapsed="false">
      <c r="A771" s="0" t="n">
        <v>2025</v>
      </c>
      <c r="B771" s="0" t="s">
        <v>264</v>
      </c>
      <c r="C771" s="0" t="s">
        <v>265</v>
      </c>
      <c r="D771" s="0" t="s">
        <v>72</v>
      </c>
      <c r="E771" s="0" t="n">
        <v>1114</v>
      </c>
    </row>
    <row r="772" customFormat="false" ht="15" hidden="false" customHeight="false" outlineLevel="0" collapsed="false">
      <c r="A772" s="0" t="n">
        <v>2016</v>
      </c>
      <c r="B772" s="0" t="s">
        <v>258</v>
      </c>
      <c r="C772" s="0" t="s">
        <v>259</v>
      </c>
      <c r="D772" s="0" t="s">
        <v>75</v>
      </c>
      <c r="E772" s="0" t="n">
        <v>829</v>
      </c>
    </row>
    <row r="773" customFormat="false" ht="15" hidden="false" customHeight="false" outlineLevel="0" collapsed="false">
      <c r="A773" s="0" t="n">
        <v>2017</v>
      </c>
      <c r="B773" s="0" t="s">
        <v>258</v>
      </c>
      <c r="C773" s="0" t="s">
        <v>259</v>
      </c>
      <c r="D773" s="0" t="s">
        <v>75</v>
      </c>
      <c r="E773" s="0" t="n">
        <v>823</v>
      </c>
    </row>
    <row r="774" customFormat="false" ht="15" hidden="false" customHeight="false" outlineLevel="0" collapsed="false">
      <c r="A774" s="0" t="n">
        <v>2018</v>
      </c>
      <c r="B774" s="0" t="s">
        <v>258</v>
      </c>
      <c r="C774" s="0" t="s">
        <v>259</v>
      </c>
      <c r="D774" s="0" t="s">
        <v>75</v>
      </c>
      <c r="E774" s="0" t="n">
        <v>815</v>
      </c>
    </row>
    <row r="775" customFormat="false" ht="15" hidden="false" customHeight="false" outlineLevel="0" collapsed="false">
      <c r="A775" s="0" t="n">
        <v>2019</v>
      </c>
      <c r="B775" s="0" t="s">
        <v>258</v>
      </c>
      <c r="C775" s="0" t="s">
        <v>259</v>
      </c>
      <c r="D775" s="0" t="s">
        <v>75</v>
      </c>
      <c r="E775" s="0" t="n">
        <v>813</v>
      </c>
    </row>
    <row r="776" customFormat="false" ht="15" hidden="false" customHeight="false" outlineLevel="0" collapsed="false">
      <c r="A776" s="0" t="n">
        <v>2020</v>
      </c>
      <c r="B776" s="0" t="s">
        <v>258</v>
      </c>
      <c r="C776" s="0" t="s">
        <v>259</v>
      </c>
      <c r="D776" s="0" t="s">
        <v>75</v>
      </c>
      <c r="E776" s="0" t="n">
        <v>814</v>
      </c>
    </row>
    <row r="777" customFormat="false" ht="15" hidden="false" customHeight="false" outlineLevel="0" collapsed="false">
      <c r="A777" s="0" t="n">
        <v>2021</v>
      </c>
      <c r="B777" s="0" t="s">
        <v>258</v>
      </c>
      <c r="C777" s="0" t="s">
        <v>259</v>
      </c>
      <c r="D777" s="0" t="s">
        <v>75</v>
      </c>
      <c r="E777" s="0" t="n">
        <v>782</v>
      </c>
    </row>
    <row r="778" customFormat="false" ht="15" hidden="false" customHeight="false" outlineLevel="0" collapsed="false">
      <c r="A778" s="0" t="n">
        <v>2022</v>
      </c>
      <c r="B778" s="0" t="s">
        <v>258</v>
      </c>
      <c r="C778" s="0" t="s">
        <v>259</v>
      </c>
      <c r="D778" s="0" t="s">
        <v>75</v>
      </c>
      <c r="E778" s="0" t="n">
        <v>794</v>
      </c>
    </row>
    <row r="779" customFormat="false" ht="15" hidden="false" customHeight="false" outlineLevel="0" collapsed="false">
      <c r="A779" s="0" t="n">
        <v>2023</v>
      </c>
      <c r="B779" s="0" t="s">
        <v>258</v>
      </c>
      <c r="C779" s="0" t="s">
        <v>259</v>
      </c>
      <c r="D779" s="0" t="s">
        <v>75</v>
      </c>
      <c r="E779" s="0" t="n">
        <v>792</v>
      </c>
    </row>
    <row r="780" customFormat="false" ht="15" hidden="false" customHeight="false" outlineLevel="0" collapsed="false">
      <c r="A780" s="0" t="n">
        <v>2024</v>
      </c>
      <c r="B780" s="0" t="s">
        <v>258</v>
      </c>
      <c r="C780" s="0" t="s">
        <v>259</v>
      </c>
      <c r="D780" s="0" t="s">
        <v>75</v>
      </c>
      <c r="E780" s="0" t="n">
        <v>789</v>
      </c>
    </row>
    <row r="781" customFormat="false" ht="15" hidden="false" customHeight="false" outlineLevel="0" collapsed="false">
      <c r="A781" s="0" t="n">
        <v>2025</v>
      </c>
      <c r="B781" s="0" t="s">
        <v>258</v>
      </c>
      <c r="C781" s="0" t="s">
        <v>259</v>
      </c>
      <c r="D781" s="0" t="s">
        <v>75</v>
      </c>
      <c r="E781" s="0" t="n">
        <v>831</v>
      </c>
    </row>
    <row r="782" customFormat="false" ht="15" hidden="false" customHeight="false" outlineLevel="0" collapsed="false">
      <c r="A782" s="0" t="n">
        <v>2016</v>
      </c>
      <c r="B782" s="0" t="s">
        <v>266</v>
      </c>
      <c r="C782" s="0" t="s">
        <v>267</v>
      </c>
      <c r="D782" s="0" t="s">
        <v>73</v>
      </c>
      <c r="E782" s="0" t="n">
        <v>1144</v>
      </c>
    </row>
    <row r="783" customFormat="false" ht="15" hidden="false" customHeight="false" outlineLevel="0" collapsed="false">
      <c r="A783" s="0" t="n">
        <v>2017</v>
      </c>
      <c r="B783" s="0" t="s">
        <v>266</v>
      </c>
      <c r="C783" s="0" t="s">
        <v>267</v>
      </c>
      <c r="D783" s="0" t="s">
        <v>73</v>
      </c>
      <c r="E783" s="0" t="n">
        <v>1043</v>
      </c>
    </row>
    <row r="784" customFormat="false" ht="15" hidden="false" customHeight="false" outlineLevel="0" collapsed="false">
      <c r="A784" s="0" t="n">
        <v>2018</v>
      </c>
      <c r="B784" s="0" t="s">
        <v>266</v>
      </c>
      <c r="C784" s="0" t="s">
        <v>267</v>
      </c>
      <c r="D784" s="0" t="s">
        <v>73</v>
      </c>
      <c r="E784" s="0" t="n">
        <v>960</v>
      </c>
    </row>
    <row r="785" customFormat="false" ht="15" hidden="false" customHeight="false" outlineLevel="0" collapsed="false">
      <c r="A785" s="0" t="n">
        <v>2019</v>
      </c>
      <c r="B785" s="0" t="s">
        <v>266</v>
      </c>
      <c r="C785" s="0" t="s">
        <v>267</v>
      </c>
      <c r="D785" s="0" t="s">
        <v>73</v>
      </c>
      <c r="E785" s="0" t="n">
        <v>948</v>
      </c>
    </row>
    <row r="786" customFormat="false" ht="15" hidden="false" customHeight="false" outlineLevel="0" collapsed="false">
      <c r="A786" s="0" t="n">
        <v>2020</v>
      </c>
      <c r="B786" s="0" t="s">
        <v>266</v>
      </c>
      <c r="C786" s="0" t="s">
        <v>267</v>
      </c>
      <c r="D786" s="0" t="s">
        <v>73</v>
      </c>
      <c r="E786" s="0" t="n">
        <v>946</v>
      </c>
    </row>
    <row r="787" customFormat="false" ht="15" hidden="false" customHeight="false" outlineLevel="0" collapsed="false">
      <c r="A787" s="0" t="n">
        <v>2021</v>
      </c>
      <c r="B787" s="0" t="s">
        <v>266</v>
      </c>
      <c r="C787" s="0" t="s">
        <v>267</v>
      </c>
      <c r="D787" s="0" t="s">
        <v>73</v>
      </c>
      <c r="E787" s="0" t="n">
        <v>898</v>
      </c>
    </row>
    <row r="788" customFormat="false" ht="15" hidden="false" customHeight="false" outlineLevel="0" collapsed="false">
      <c r="A788" s="0" t="n">
        <v>2022</v>
      </c>
      <c r="B788" s="0" t="s">
        <v>266</v>
      </c>
      <c r="C788" s="0" t="s">
        <v>267</v>
      </c>
      <c r="D788" s="0" t="s">
        <v>73</v>
      </c>
      <c r="E788" s="0" t="n">
        <v>889</v>
      </c>
    </row>
    <row r="789" customFormat="false" ht="15" hidden="false" customHeight="false" outlineLevel="0" collapsed="false">
      <c r="A789" s="0" t="n">
        <v>2023</v>
      </c>
      <c r="B789" s="0" t="s">
        <v>266</v>
      </c>
      <c r="C789" s="0" t="s">
        <v>267</v>
      </c>
      <c r="D789" s="0" t="s">
        <v>73</v>
      </c>
      <c r="E789" s="0" t="n">
        <v>889</v>
      </c>
    </row>
    <row r="790" customFormat="false" ht="15" hidden="false" customHeight="false" outlineLevel="0" collapsed="false">
      <c r="A790" s="0" t="n">
        <v>2024</v>
      </c>
      <c r="B790" s="0" t="s">
        <v>266</v>
      </c>
      <c r="C790" s="0" t="s">
        <v>267</v>
      </c>
      <c r="D790" s="0" t="s">
        <v>73</v>
      </c>
      <c r="E790" s="0" t="n">
        <v>872</v>
      </c>
    </row>
    <row r="791" customFormat="false" ht="15" hidden="false" customHeight="false" outlineLevel="0" collapsed="false">
      <c r="A791" s="0" t="n">
        <v>2025</v>
      </c>
      <c r="B791" s="0" t="s">
        <v>266</v>
      </c>
      <c r="C791" s="0" t="s">
        <v>267</v>
      </c>
      <c r="D791" s="0" t="s">
        <v>73</v>
      </c>
      <c r="E791" s="0" t="n">
        <v>864</v>
      </c>
    </row>
    <row r="792" customFormat="false" ht="15" hidden="false" customHeight="false" outlineLevel="0" collapsed="false">
      <c r="A792" s="0" t="n">
        <v>2016</v>
      </c>
      <c r="B792" s="0" t="s">
        <v>270</v>
      </c>
      <c r="C792" s="0" t="s">
        <v>271</v>
      </c>
      <c r="D792" s="0" t="s">
        <v>73</v>
      </c>
      <c r="E792" s="0" t="n">
        <v>2493</v>
      </c>
    </row>
    <row r="793" customFormat="false" ht="15" hidden="false" customHeight="false" outlineLevel="0" collapsed="false">
      <c r="A793" s="0" t="n">
        <v>2017</v>
      </c>
      <c r="B793" s="0" t="s">
        <v>270</v>
      </c>
      <c r="C793" s="0" t="s">
        <v>271</v>
      </c>
      <c r="D793" s="0" t="s">
        <v>73</v>
      </c>
      <c r="E793" s="0" t="n">
        <v>2411</v>
      </c>
    </row>
    <row r="794" customFormat="false" ht="15" hidden="false" customHeight="false" outlineLevel="0" collapsed="false">
      <c r="A794" s="0" t="n">
        <v>2018</v>
      </c>
      <c r="B794" s="0" t="s">
        <v>270</v>
      </c>
      <c r="C794" s="0" t="s">
        <v>271</v>
      </c>
      <c r="D794" s="0" t="s">
        <v>73</v>
      </c>
      <c r="E794" s="0" t="n">
        <v>2355</v>
      </c>
    </row>
    <row r="795" customFormat="false" ht="15" hidden="false" customHeight="false" outlineLevel="0" collapsed="false">
      <c r="A795" s="0" t="n">
        <v>2019</v>
      </c>
      <c r="B795" s="0" t="s">
        <v>270</v>
      </c>
      <c r="C795" s="0" t="s">
        <v>271</v>
      </c>
      <c r="D795" s="0" t="s">
        <v>73</v>
      </c>
      <c r="E795" s="0" t="n">
        <v>2293</v>
      </c>
    </row>
    <row r="796" customFormat="false" ht="15" hidden="false" customHeight="false" outlineLevel="0" collapsed="false">
      <c r="A796" s="0" t="n">
        <v>2020</v>
      </c>
      <c r="B796" s="0" t="s">
        <v>270</v>
      </c>
      <c r="C796" s="0" t="s">
        <v>271</v>
      </c>
      <c r="D796" s="0" t="s">
        <v>73</v>
      </c>
      <c r="E796" s="0" t="n">
        <v>2254</v>
      </c>
    </row>
    <row r="797" customFormat="false" ht="15" hidden="false" customHeight="false" outlineLevel="0" collapsed="false">
      <c r="A797" s="0" t="n">
        <v>2021</v>
      </c>
      <c r="B797" s="0" t="s">
        <v>270</v>
      </c>
      <c r="C797" s="0" t="s">
        <v>271</v>
      </c>
      <c r="D797" s="0" t="s">
        <v>73</v>
      </c>
      <c r="E797" s="0" t="n">
        <v>2244</v>
      </c>
    </row>
    <row r="798" customFormat="false" ht="15" hidden="false" customHeight="false" outlineLevel="0" collapsed="false">
      <c r="A798" s="0" t="n">
        <v>2022</v>
      </c>
      <c r="B798" s="0" t="s">
        <v>270</v>
      </c>
      <c r="C798" s="0" t="s">
        <v>271</v>
      </c>
      <c r="D798" s="0" t="s">
        <v>73</v>
      </c>
      <c r="E798" s="0" t="n">
        <v>2275</v>
      </c>
    </row>
    <row r="799" customFormat="false" ht="15" hidden="false" customHeight="false" outlineLevel="0" collapsed="false">
      <c r="A799" s="0" t="n">
        <v>2023</v>
      </c>
      <c r="B799" s="0" t="s">
        <v>270</v>
      </c>
      <c r="C799" s="0" t="s">
        <v>271</v>
      </c>
      <c r="D799" s="0" t="s">
        <v>73</v>
      </c>
      <c r="E799" s="0" t="n">
        <v>2290</v>
      </c>
    </row>
    <row r="800" customFormat="false" ht="15" hidden="false" customHeight="false" outlineLevel="0" collapsed="false">
      <c r="A800" s="0" t="n">
        <v>2024</v>
      </c>
      <c r="B800" s="0" t="s">
        <v>270</v>
      </c>
      <c r="C800" s="0" t="s">
        <v>271</v>
      </c>
      <c r="D800" s="0" t="s">
        <v>73</v>
      </c>
      <c r="E800" s="0" t="n">
        <v>2313</v>
      </c>
    </row>
    <row r="801" customFormat="false" ht="15" hidden="false" customHeight="false" outlineLevel="0" collapsed="false">
      <c r="A801" s="0" t="n">
        <v>2025</v>
      </c>
      <c r="B801" s="0" t="s">
        <v>270</v>
      </c>
      <c r="C801" s="0" t="s">
        <v>271</v>
      </c>
      <c r="D801" s="0" t="s">
        <v>73</v>
      </c>
      <c r="E801" s="0" t="n">
        <v>2377</v>
      </c>
    </row>
    <row r="802" customFormat="false" ht="15" hidden="false" customHeight="false" outlineLevel="0" collapsed="false">
      <c r="A802" s="0" t="n">
        <v>2016</v>
      </c>
      <c r="B802" s="0" t="s">
        <v>268</v>
      </c>
      <c r="C802" s="0" t="s">
        <v>269</v>
      </c>
      <c r="D802" s="0" t="s">
        <v>72</v>
      </c>
      <c r="E802" s="0" t="n">
        <v>2461</v>
      </c>
    </row>
    <row r="803" customFormat="false" ht="15" hidden="false" customHeight="false" outlineLevel="0" collapsed="false">
      <c r="A803" s="0" t="n">
        <v>2017</v>
      </c>
      <c r="B803" s="0" t="s">
        <v>268</v>
      </c>
      <c r="C803" s="0" t="s">
        <v>269</v>
      </c>
      <c r="D803" s="0" t="s">
        <v>72</v>
      </c>
      <c r="E803" s="0" t="n">
        <v>2415</v>
      </c>
    </row>
    <row r="804" customFormat="false" ht="15" hidden="false" customHeight="false" outlineLevel="0" collapsed="false">
      <c r="A804" s="0" t="n">
        <v>2018</v>
      </c>
      <c r="B804" s="0" t="s">
        <v>268</v>
      </c>
      <c r="C804" s="0" t="s">
        <v>269</v>
      </c>
      <c r="D804" s="0" t="s">
        <v>72</v>
      </c>
      <c r="E804" s="0" t="n">
        <v>2302</v>
      </c>
    </row>
    <row r="805" customFormat="false" ht="15" hidden="false" customHeight="false" outlineLevel="0" collapsed="false">
      <c r="A805" s="0" t="n">
        <v>2019</v>
      </c>
      <c r="B805" s="0" t="s">
        <v>268</v>
      </c>
      <c r="C805" s="0" t="s">
        <v>269</v>
      </c>
      <c r="D805" s="0" t="s">
        <v>72</v>
      </c>
      <c r="E805" s="0" t="n">
        <v>2293</v>
      </c>
    </row>
    <row r="806" customFormat="false" ht="15" hidden="false" customHeight="false" outlineLevel="0" collapsed="false">
      <c r="A806" s="0" t="n">
        <v>2020</v>
      </c>
      <c r="B806" s="0" t="s">
        <v>268</v>
      </c>
      <c r="C806" s="0" t="s">
        <v>269</v>
      </c>
      <c r="D806" s="0" t="s">
        <v>72</v>
      </c>
      <c r="E806" s="0" t="n">
        <v>2283</v>
      </c>
    </row>
    <row r="807" customFormat="false" ht="15" hidden="false" customHeight="false" outlineLevel="0" collapsed="false">
      <c r="A807" s="0" t="n">
        <v>2021</v>
      </c>
      <c r="B807" s="0" t="s">
        <v>268</v>
      </c>
      <c r="C807" s="0" t="s">
        <v>269</v>
      </c>
      <c r="D807" s="0" t="s">
        <v>72</v>
      </c>
      <c r="E807" s="0" t="n">
        <v>2232</v>
      </c>
    </row>
    <row r="808" customFormat="false" ht="15" hidden="false" customHeight="false" outlineLevel="0" collapsed="false">
      <c r="A808" s="0" t="n">
        <v>2022</v>
      </c>
      <c r="B808" s="0" t="s">
        <v>268</v>
      </c>
      <c r="C808" s="0" t="s">
        <v>269</v>
      </c>
      <c r="D808" s="0" t="s">
        <v>72</v>
      </c>
      <c r="E808" s="0" t="n">
        <v>2166</v>
      </c>
    </row>
    <row r="809" customFormat="false" ht="15" hidden="false" customHeight="false" outlineLevel="0" collapsed="false">
      <c r="A809" s="0" t="n">
        <v>2023</v>
      </c>
      <c r="B809" s="0" t="s">
        <v>268</v>
      </c>
      <c r="C809" s="0" t="s">
        <v>269</v>
      </c>
      <c r="D809" s="0" t="s">
        <v>72</v>
      </c>
      <c r="E809" s="0" t="n">
        <v>2163</v>
      </c>
    </row>
    <row r="810" customFormat="false" ht="15" hidden="false" customHeight="false" outlineLevel="0" collapsed="false">
      <c r="A810" s="0" t="n">
        <v>2024</v>
      </c>
      <c r="B810" s="0" t="s">
        <v>268</v>
      </c>
      <c r="C810" s="0" t="s">
        <v>269</v>
      </c>
      <c r="D810" s="0" t="s">
        <v>72</v>
      </c>
      <c r="E810" s="0" t="n">
        <v>2099</v>
      </c>
    </row>
    <row r="811" customFormat="false" ht="15" hidden="false" customHeight="false" outlineLevel="0" collapsed="false">
      <c r="A811" s="0" t="n">
        <v>2025</v>
      </c>
      <c r="B811" s="0" t="s">
        <v>268</v>
      </c>
      <c r="C811" s="0" t="s">
        <v>269</v>
      </c>
      <c r="D811" s="0" t="s">
        <v>72</v>
      </c>
      <c r="E811" s="0" t="n">
        <v>2117</v>
      </c>
    </row>
    <row r="812" customFormat="false" ht="15" hidden="false" customHeight="false" outlineLevel="0" collapsed="false">
      <c r="A812" s="0" t="n">
        <v>2016</v>
      </c>
      <c r="B812" s="0" t="s">
        <v>272</v>
      </c>
      <c r="C812" s="0" t="s">
        <v>273</v>
      </c>
      <c r="D812" s="0" t="s">
        <v>72</v>
      </c>
      <c r="E812" s="0" t="n">
        <v>1068</v>
      </c>
    </row>
    <row r="813" customFormat="false" ht="15" hidden="false" customHeight="false" outlineLevel="0" collapsed="false">
      <c r="A813" s="0" t="n">
        <v>2017</v>
      </c>
      <c r="B813" s="0" t="s">
        <v>272</v>
      </c>
      <c r="C813" s="0" t="s">
        <v>273</v>
      </c>
      <c r="D813" s="0" t="s">
        <v>72</v>
      </c>
      <c r="E813" s="0" t="n">
        <v>1064</v>
      </c>
    </row>
    <row r="814" customFormat="false" ht="15" hidden="false" customHeight="false" outlineLevel="0" collapsed="false">
      <c r="A814" s="0" t="n">
        <v>2018</v>
      </c>
      <c r="B814" s="0" t="s">
        <v>272</v>
      </c>
      <c r="C814" s="0" t="s">
        <v>273</v>
      </c>
      <c r="D814" s="0" t="s">
        <v>72</v>
      </c>
      <c r="E814" s="0" t="n">
        <v>1061</v>
      </c>
    </row>
    <row r="815" customFormat="false" ht="15" hidden="false" customHeight="false" outlineLevel="0" collapsed="false">
      <c r="A815" s="0" t="n">
        <v>2019</v>
      </c>
      <c r="B815" s="0" t="s">
        <v>272</v>
      </c>
      <c r="C815" s="0" t="s">
        <v>273</v>
      </c>
      <c r="D815" s="0" t="s">
        <v>72</v>
      </c>
      <c r="E815" s="0" t="n">
        <v>1060</v>
      </c>
    </row>
    <row r="816" customFormat="false" ht="15" hidden="false" customHeight="false" outlineLevel="0" collapsed="false">
      <c r="A816" s="0" t="n">
        <v>2020</v>
      </c>
      <c r="B816" s="0" t="s">
        <v>272</v>
      </c>
      <c r="C816" s="0" t="s">
        <v>273</v>
      </c>
      <c r="D816" s="0" t="s">
        <v>72</v>
      </c>
      <c r="E816" s="0" t="n">
        <v>1058</v>
      </c>
    </row>
    <row r="817" customFormat="false" ht="15" hidden="false" customHeight="false" outlineLevel="0" collapsed="false">
      <c r="A817" s="0" t="n">
        <v>2021</v>
      </c>
      <c r="B817" s="0" t="s">
        <v>272</v>
      </c>
      <c r="C817" s="0" t="s">
        <v>273</v>
      </c>
      <c r="D817" s="0" t="s">
        <v>72</v>
      </c>
      <c r="E817" s="0" t="n">
        <v>1048</v>
      </c>
    </row>
    <row r="818" customFormat="false" ht="15" hidden="false" customHeight="false" outlineLevel="0" collapsed="false">
      <c r="A818" s="0" t="n">
        <v>2022</v>
      </c>
      <c r="B818" s="0" t="s">
        <v>272</v>
      </c>
      <c r="C818" s="0" t="s">
        <v>273</v>
      </c>
      <c r="D818" s="0" t="s">
        <v>72</v>
      </c>
      <c r="E818" s="0" t="n">
        <v>1042</v>
      </c>
    </row>
    <row r="819" customFormat="false" ht="15" hidden="false" customHeight="false" outlineLevel="0" collapsed="false">
      <c r="A819" s="0" t="n">
        <v>2023</v>
      </c>
      <c r="B819" s="0" t="s">
        <v>272</v>
      </c>
      <c r="C819" s="0" t="s">
        <v>273</v>
      </c>
      <c r="D819" s="0" t="s">
        <v>72</v>
      </c>
      <c r="E819" s="0" t="n">
        <v>1042</v>
      </c>
    </row>
    <row r="820" customFormat="false" ht="15" hidden="false" customHeight="false" outlineLevel="0" collapsed="false">
      <c r="A820" s="0" t="n">
        <v>2024</v>
      </c>
      <c r="B820" s="0" t="s">
        <v>272</v>
      </c>
      <c r="C820" s="0" t="s">
        <v>273</v>
      </c>
      <c r="D820" s="0" t="s">
        <v>72</v>
      </c>
      <c r="E820" s="0" t="n">
        <v>1044</v>
      </c>
    </row>
    <row r="821" customFormat="false" ht="15" hidden="false" customHeight="false" outlineLevel="0" collapsed="false">
      <c r="A821" s="0" t="n">
        <v>2025</v>
      </c>
      <c r="B821" s="0" t="s">
        <v>272</v>
      </c>
      <c r="C821" s="0" t="s">
        <v>273</v>
      </c>
      <c r="D821" s="0" t="s">
        <v>72</v>
      </c>
      <c r="E821" s="0" t="n">
        <v>1047</v>
      </c>
    </row>
    <row r="822" customFormat="false" ht="15" hidden="false" customHeight="false" outlineLevel="0" collapsed="false">
      <c r="A822" s="0" t="n">
        <v>2016</v>
      </c>
      <c r="B822" s="0" t="s">
        <v>274</v>
      </c>
      <c r="C822" s="0" t="s">
        <v>275</v>
      </c>
      <c r="D822" s="0" t="s">
        <v>74</v>
      </c>
      <c r="E822" s="0" t="n">
        <v>1123</v>
      </c>
    </row>
    <row r="823" customFormat="false" ht="15" hidden="false" customHeight="false" outlineLevel="0" collapsed="false">
      <c r="A823" s="0" t="n">
        <v>2017</v>
      </c>
      <c r="B823" s="0" t="s">
        <v>274</v>
      </c>
      <c r="C823" s="0" t="s">
        <v>275</v>
      </c>
      <c r="D823" s="0" t="s">
        <v>74</v>
      </c>
      <c r="E823" s="0" t="n">
        <v>1121</v>
      </c>
    </row>
    <row r="824" customFormat="false" ht="15" hidden="false" customHeight="false" outlineLevel="0" collapsed="false">
      <c r="A824" s="0" t="n">
        <v>2018</v>
      </c>
      <c r="B824" s="0" t="s">
        <v>274</v>
      </c>
      <c r="C824" s="0" t="s">
        <v>275</v>
      </c>
      <c r="D824" s="0" t="s">
        <v>74</v>
      </c>
      <c r="E824" s="0" t="n">
        <v>1124</v>
      </c>
    </row>
    <row r="825" customFormat="false" ht="15" hidden="false" customHeight="false" outlineLevel="0" collapsed="false">
      <c r="A825" s="0" t="n">
        <v>2019</v>
      </c>
      <c r="B825" s="0" t="s">
        <v>274</v>
      </c>
      <c r="C825" s="0" t="s">
        <v>275</v>
      </c>
      <c r="D825" s="0" t="s">
        <v>74</v>
      </c>
      <c r="E825" s="0" t="n">
        <v>1125</v>
      </c>
    </row>
    <row r="826" customFormat="false" ht="15" hidden="false" customHeight="false" outlineLevel="0" collapsed="false">
      <c r="A826" s="0" t="n">
        <v>2020</v>
      </c>
      <c r="B826" s="0" t="s">
        <v>274</v>
      </c>
      <c r="C826" s="0" t="s">
        <v>275</v>
      </c>
      <c r="D826" s="0" t="s">
        <v>74</v>
      </c>
      <c r="E826" s="0" t="n">
        <v>1110</v>
      </c>
    </row>
    <row r="827" customFormat="false" ht="15" hidden="false" customHeight="false" outlineLevel="0" collapsed="false">
      <c r="A827" s="0" t="n">
        <v>2021</v>
      </c>
      <c r="B827" s="0" t="s">
        <v>274</v>
      </c>
      <c r="C827" s="0" t="s">
        <v>275</v>
      </c>
      <c r="D827" s="0" t="s">
        <v>74</v>
      </c>
      <c r="E827" s="0" t="n">
        <v>1105</v>
      </c>
    </row>
    <row r="828" customFormat="false" ht="15" hidden="false" customHeight="false" outlineLevel="0" collapsed="false">
      <c r="A828" s="0" t="n">
        <v>2022</v>
      </c>
      <c r="B828" s="0" t="s">
        <v>274</v>
      </c>
      <c r="C828" s="0" t="s">
        <v>275</v>
      </c>
      <c r="D828" s="0" t="s">
        <v>74</v>
      </c>
      <c r="E828" s="0" t="n">
        <v>1102</v>
      </c>
    </row>
    <row r="829" customFormat="false" ht="15" hidden="false" customHeight="false" outlineLevel="0" collapsed="false">
      <c r="A829" s="0" t="n">
        <v>2023</v>
      </c>
      <c r="B829" s="0" t="s">
        <v>274</v>
      </c>
      <c r="C829" s="0" t="s">
        <v>275</v>
      </c>
      <c r="D829" s="0" t="s">
        <v>74</v>
      </c>
      <c r="E829" s="0" t="n">
        <v>1119</v>
      </c>
    </row>
    <row r="830" customFormat="false" ht="15" hidden="false" customHeight="false" outlineLevel="0" collapsed="false">
      <c r="A830" s="0" t="n">
        <v>2024</v>
      </c>
      <c r="B830" s="0" t="s">
        <v>274</v>
      </c>
      <c r="C830" s="0" t="s">
        <v>275</v>
      </c>
      <c r="D830" s="0" t="s">
        <v>74</v>
      </c>
      <c r="E830" s="0" t="n">
        <v>1163</v>
      </c>
    </row>
    <row r="831" customFormat="false" ht="15" hidden="false" customHeight="false" outlineLevel="0" collapsed="false">
      <c r="A831" s="0" t="n">
        <v>2025</v>
      </c>
      <c r="B831" s="0" t="s">
        <v>274</v>
      </c>
      <c r="C831" s="0" t="s">
        <v>275</v>
      </c>
      <c r="D831" s="0" t="s">
        <v>74</v>
      </c>
      <c r="E831" s="0" t="n">
        <v>1170</v>
      </c>
    </row>
    <row r="832" customFormat="false" ht="15" hidden="false" customHeight="false" outlineLevel="0" collapsed="false">
      <c r="A832" s="0" t="n">
        <v>2016</v>
      </c>
      <c r="B832" s="0" t="s">
        <v>280</v>
      </c>
      <c r="C832" s="0" t="s">
        <v>281</v>
      </c>
      <c r="D832" s="0" t="s">
        <v>73</v>
      </c>
      <c r="E832" s="0" t="n">
        <v>1530</v>
      </c>
    </row>
    <row r="833" customFormat="false" ht="15" hidden="false" customHeight="false" outlineLevel="0" collapsed="false">
      <c r="A833" s="0" t="n">
        <v>2017</v>
      </c>
      <c r="B833" s="0" t="s">
        <v>280</v>
      </c>
      <c r="C833" s="0" t="s">
        <v>281</v>
      </c>
      <c r="D833" s="0" t="s">
        <v>73</v>
      </c>
      <c r="E833" s="0" t="n">
        <v>1472</v>
      </c>
    </row>
    <row r="834" customFormat="false" ht="15" hidden="false" customHeight="false" outlineLevel="0" collapsed="false">
      <c r="A834" s="0" t="n">
        <v>2018</v>
      </c>
      <c r="B834" s="0" t="s">
        <v>280</v>
      </c>
      <c r="C834" s="0" t="s">
        <v>281</v>
      </c>
      <c r="D834" s="0" t="s">
        <v>73</v>
      </c>
      <c r="E834" s="0" t="n">
        <v>1427</v>
      </c>
    </row>
    <row r="835" customFormat="false" ht="15" hidden="false" customHeight="false" outlineLevel="0" collapsed="false">
      <c r="A835" s="0" t="n">
        <v>2019</v>
      </c>
      <c r="B835" s="0" t="s">
        <v>280</v>
      </c>
      <c r="C835" s="0" t="s">
        <v>281</v>
      </c>
      <c r="D835" s="0" t="s">
        <v>73</v>
      </c>
      <c r="E835" s="0" t="n">
        <v>1414</v>
      </c>
    </row>
    <row r="836" customFormat="false" ht="15" hidden="false" customHeight="false" outlineLevel="0" collapsed="false">
      <c r="A836" s="0" t="n">
        <v>2020</v>
      </c>
      <c r="B836" s="0" t="s">
        <v>280</v>
      </c>
      <c r="C836" s="0" t="s">
        <v>281</v>
      </c>
      <c r="D836" s="0" t="s">
        <v>73</v>
      </c>
      <c r="E836" s="0" t="n">
        <v>1381</v>
      </c>
    </row>
    <row r="837" customFormat="false" ht="15" hidden="false" customHeight="false" outlineLevel="0" collapsed="false">
      <c r="A837" s="0" t="n">
        <v>2021</v>
      </c>
      <c r="B837" s="0" t="s">
        <v>280</v>
      </c>
      <c r="C837" s="0" t="s">
        <v>281</v>
      </c>
      <c r="D837" s="0" t="s">
        <v>73</v>
      </c>
      <c r="E837" s="0" t="n">
        <v>1378</v>
      </c>
    </row>
    <row r="838" customFormat="false" ht="15" hidden="false" customHeight="false" outlineLevel="0" collapsed="false">
      <c r="A838" s="0" t="n">
        <v>2022</v>
      </c>
      <c r="B838" s="0" t="s">
        <v>280</v>
      </c>
      <c r="C838" s="0" t="s">
        <v>281</v>
      </c>
      <c r="D838" s="0" t="s">
        <v>73</v>
      </c>
      <c r="E838" s="0" t="n">
        <v>1425</v>
      </c>
    </row>
    <row r="839" customFormat="false" ht="15" hidden="false" customHeight="false" outlineLevel="0" collapsed="false">
      <c r="A839" s="0" t="n">
        <v>2023</v>
      </c>
      <c r="B839" s="0" t="s">
        <v>280</v>
      </c>
      <c r="C839" s="0" t="s">
        <v>281</v>
      </c>
      <c r="D839" s="0" t="s">
        <v>73</v>
      </c>
      <c r="E839" s="0" t="n">
        <v>1458</v>
      </c>
    </row>
    <row r="840" customFormat="false" ht="15" hidden="false" customHeight="false" outlineLevel="0" collapsed="false">
      <c r="A840" s="0" t="n">
        <v>2024</v>
      </c>
      <c r="B840" s="0" t="s">
        <v>280</v>
      </c>
      <c r="C840" s="0" t="s">
        <v>281</v>
      </c>
      <c r="D840" s="0" t="s">
        <v>73</v>
      </c>
      <c r="E840" s="0" t="n">
        <v>1434</v>
      </c>
    </row>
    <row r="841" customFormat="false" ht="15" hidden="false" customHeight="false" outlineLevel="0" collapsed="false">
      <c r="A841" s="0" t="n">
        <v>2025</v>
      </c>
      <c r="B841" s="0" t="s">
        <v>280</v>
      </c>
      <c r="C841" s="0" t="s">
        <v>281</v>
      </c>
      <c r="D841" s="0" t="s">
        <v>73</v>
      </c>
      <c r="E841" s="0" t="n">
        <v>1426</v>
      </c>
    </row>
    <row r="842" customFormat="false" ht="15" hidden="false" customHeight="false" outlineLevel="0" collapsed="false">
      <c r="A842" s="0" t="n">
        <v>2016</v>
      </c>
      <c r="B842" s="0" t="s">
        <v>284</v>
      </c>
      <c r="C842" s="0" t="s">
        <v>285</v>
      </c>
      <c r="D842" s="0" t="s">
        <v>72</v>
      </c>
      <c r="E842" s="0" t="n">
        <v>1434</v>
      </c>
    </row>
    <row r="843" customFormat="false" ht="15" hidden="false" customHeight="false" outlineLevel="0" collapsed="false">
      <c r="A843" s="0" t="n">
        <v>2017</v>
      </c>
      <c r="B843" s="0" t="s">
        <v>284</v>
      </c>
      <c r="C843" s="0" t="s">
        <v>285</v>
      </c>
      <c r="D843" s="0" t="s">
        <v>72</v>
      </c>
      <c r="E843" s="0" t="n">
        <v>1403</v>
      </c>
    </row>
    <row r="844" customFormat="false" ht="15" hidden="false" customHeight="false" outlineLevel="0" collapsed="false">
      <c r="A844" s="0" t="n">
        <v>2018</v>
      </c>
      <c r="B844" s="0" t="s">
        <v>284</v>
      </c>
      <c r="C844" s="0" t="s">
        <v>285</v>
      </c>
      <c r="D844" s="0" t="s">
        <v>72</v>
      </c>
      <c r="E844" s="0" t="n">
        <v>1392</v>
      </c>
    </row>
    <row r="845" customFormat="false" ht="15" hidden="false" customHeight="false" outlineLevel="0" collapsed="false">
      <c r="A845" s="0" t="n">
        <v>2019</v>
      </c>
      <c r="B845" s="0" t="s">
        <v>284</v>
      </c>
      <c r="C845" s="0" t="s">
        <v>285</v>
      </c>
      <c r="D845" s="0" t="s">
        <v>72</v>
      </c>
      <c r="E845" s="0" t="n">
        <v>1401</v>
      </c>
    </row>
    <row r="846" customFormat="false" ht="15" hidden="false" customHeight="false" outlineLevel="0" collapsed="false">
      <c r="A846" s="0" t="n">
        <v>2020</v>
      </c>
      <c r="B846" s="0" t="s">
        <v>284</v>
      </c>
      <c r="C846" s="0" t="s">
        <v>285</v>
      </c>
      <c r="D846" s="0" t="s">
        <v>72</v>
      </c>
      <c r="E846" s="0" t="n">
        <v>1408</v>
      </c>
    </row>
    <row r="847" customFormat="false" ht="15" hidden="false" customHeight="false" outlineLevel="0" collapsed="false">
      <c r="A847" s="0" t="n">
        <v>2021</v>
      </c>
      <c r="B847" s="0" t="s">
        <v>284</v>
      </c>
      <c r="C847" s="0" t="s">
        <v>285</v>
      </c>
      <c r="D847" s="0" t="s">
        <v>72</v>
      </c>
      <c r="E847" s="0" t="n">
        <v>1413</v>
      </c>
    </row>
    <row r="848" customFormat="false" ht="15" hidden="false" customHeight="false" outlineLevel="0" collapsed="false">
      <c r="A848" s="0" t="n">
        <v>2022</v>
      </c>
      <c r="B848" s="0" t="s">
        <v>284</v>
      </c>
      <c r="C848" s="0" t="s">
        <v>285</v>
      </c>
      <c r="D848" s="0" t="s">
        <v>72</v>
      </c>
      <c r="E848" s="0" t="n">
        <v>1423</v>
      </c>
    </row>
    <row r="849" customFormat="false" ht="15" hidden="false" customHeight="false" outlineLevel="0" collapsed="false">
      <c r="A849" s="0" t="n">
        <v>2023</v>
      </c>
      <c r="B849" s="0" t="s">
        <v>284</v>
      </c>
      <c r="C849" s="0" t="s">
        <v>285</v>
      </c>
      <c r="D849" s="0" t="s">
        <v>72</v>
      </c>
      <c r="E849" s="0" t="n">
        <v>1445</v>
      </c>
    </row>
    <row r="850" customFormat="false" ht="15" hidden="false" customHeight="false" outlineLevel="0" collapsed="false">
      <c r="A850" s="0" t="n">
        <v>2024</v>
      </c>
      <c r="B850" s="0" t="s">
        <v>284</v>
      </c>
      <c r="C850" s="0" t="s">
        <v>285</v>
      </c>
      <c r="D850" s="0" t="s">
        <v>72</v>
      </c>
      <c r="E850" s="0" t="n">
        <v>1501</v>
      </c>
    </row>
    <row r="851" customFormat="false" ht="15" hidden="false" customHeight="false" outlineLevel="0" collapsed="false">
      <c r="A851" s="0" t="n">
        <v>2025</v>
      </c>
      <c r="B851" s="0" t="s">
        <v>284</v>
      </c>
      <c r="C851" s="0" t="s">
        <v>285</v>
      </c>
      <c r="D851" s="0" t="s">
        <v>72</v>
      </c>
      <c r="E851" s="0" t="n">
        <v>1519</v>
      </c>
    </row>
    <row r="852" customFormat="false" ht="15" hidden="false" customHeight="false" outlineLevel="0" collapsed="false">
      <c r="A852" s="0" t="n">
        <v>2016</v>
      </c>
      <c r="B852" s="0" t="s">
        <v>194</v>
      </c>
      <c r="C852" s="0" t="s">
        <v>195</v>
      </c>
      <c r="D852" s="0" t="s">
        <v>72</v>
      </c>
      <c r="E852" s="0" t="n">
        <v>1820</v>
      </c>
    </row>
    <row r="853" customFormat="false" ht="15" hidden="false" customHeight="false" outlineLevel="0" collapsed="false">
      <c r="A853" s="0" t="n">
        <v>2017</v>
      </c>
      <c r="B853" s="0" t="s">
        <v>194</v>
      </c>
      <c r="C853" s="0" t="s">
        <v>195</v>
      </c>
      <c r="D853" s="0" t="s">
        <v>72</v>
      </c>
      <c r="E853" s="0" t="n">
        <v>1817</v>
      </c>
    </row>
    <row r="854" customFormat="false" ht="15" hidden="false" customHeight="false" outlineLevel="0" collapsed="false">
      <c r="A854" s="0" t="n">
        <v>2018</v>
      </c>
      <c r="B854" s="0" t="s">
        <v>194</v>
      </c>
      <c r="C854" s="0" t="s">
        <v>195</v>
      </c>
      <c r="D854" s="0" t="s">
        <v>72</v>
      </c>
      <c r="E854" s="0" t="n">
        <v>1791</v>
      </c>
    </row>
    <row r="855" customFormat="false" ht="15" hidden="false" customHeight="false" outlineLevel="0" collapsed="false">
      <c r="A855" s="0" t="n">
        <v>2019</v>
      </c>
      <c r="B855" s="0" t="s">
        <v>194</v>
      </c>
      <c r="C855" s="0" t="s">
        <v>195</v>
      </c>
      <c r="D855" s="0" t="s">
        <v>72</v>
      </c>
      <c r="E855" s="0" t="n">
        <v>1781</v>
      </c>
    </row>
    <row r="856" customFormat="false" ht="15" hidden="false" customHeight="false" outlineLevel="0" collapsed="false">
      <c r="A856" s="0" t="n">
        <v>2020</v>
      </c>
      <c r="B856" s="0" t="s">
        <v>194</v>
      </c>
      <c r="C856" s="0" t="s">
        <v>195</v>
      </c>
      <c r="D856" s="0" t="s">
        <v>72</v>
      </c>
      <c r="E856" s="0" t="n">
        <v>1776</v>
      </c>
    </row>
    <row r="857" customFormat="false" ht="15" hidden="false" customHeight="false" outlineLevel="0" collapsed="false">
      <c r="A857" s="0" t="n">
        <v>2021</v>
      </c>
      <c r="B857" s="0" t="s">
        <v>194</v>
      </c>
      <c r="C857" s="0" t="s">
        <v>195</v>
      </c>
      <c r="D857" s="0" t="s">
        <v>72</v>
      </c>
      <c r="E857" s="0" t="n">
        <v>1768</v>
      </c>
    </row>
    <row r="858" customFormat="false" ht="15" hidden="false" customHeight="false" outlineLevel="0" collapsed="false">
      <c r="A858" s="0" t="n">
        <v>2022</v>
      </c>
      <c r="B858" s="0" t="s">
        <v>194</v>
      </c>
      <c r="C858" s="0" t="s">
        <v>195</v>
      </c>
      <c r="D858" s="0" t="s">
        <v>72</v>
      </c>
      <c r="E858" s="0" t="n">
        <v>1767</v>
      </c>
    </row>
    <row r="859" customFormat="false" ht="15" hidden="false" customHeight="false" outlineLevel="0" collapsed="false">
      <c r="A859" s="0" t="n">
        <v>2023</v>
      </c>
      <c r="B859" s="0" t="s">
        <v>194</v>
      </c>
      <c r="C859" s="0" t="s">
        <v>195</v>
      </c>
      <c r="D859" s="0" t="s">
        <v>72</v>
      </c>
      <c r="E859" s="0" t="n">
        <v>1744</v>
      </c>
    </row>
    <row r="860" customFormat="false" ht="15" hidden="false" customHeight="false" outlineLevel="0" collapsed="false">
      <c r="A860" s="0" t="n">
        <v>2024</v>
      </c>
      <c r="B860" s="0" t="s">
        <v>194</v>
      </c>
      <c r="C860" s="0" t="s">
        <v>195</v>
      </c>
      <c r="D860" s="0" t="s">
        <v>72</v>
      </c>
      <c r="E860" s="0" t="n">
        <v>1846</v>
      </c>
    </row>
    <row r="861" customFormat="false" ht="15" hidden="false" customHeight="false" outlineLevel="0" collapsed="false">
      <c r="A861" s="0" t="n">
        <v>2025</v>
      </c>
      <c r="B861" s="0" t="s">
        <v>194</v>
      </c>
      <c r="C861" s="0" t="s">
        <v>195</v>
      </c>
      <c r="D861" s="0" t="s">
        <v>72</v>
      </c>
      <c r="E861" s="0" t="n">
        <v>1876</v>
      </c>
    </row>
    <row r="862" customFormat="false" ht="15" hidden="false" customHeight="false" outlineLevel="0" collapsed="false">
      <c r="A862" s="0" t="n">
        <v>2016</v>
      </c>
      <c r="B862" s="0" t="s">
        <v>282</v>
      </c>
      <c r="C862" s="0" t="s">
        <v>283</v>
      </c>
      <c r="D862" s="0" t="s">
        <v>75</v>
      </c>
      <c r="E862" s="0" t="n">
        <v>782</v>
      </c>
    </row>
    <row r="863" customFormat="false" ht="15" hidden="false" customHeight="false" outlineLevel="0" collapsed="false">
      <c r="A863" s="0" t="n">
        <v>2017</v>
      </c>
      <c r="B863" s="0" t="s">
        <v>282</v>
      </c>
      <c r="C863" s="0" t="s">
        <v>283</v>
      </c>
      <c r="D863" s="0" t="s">
        <v>75</v>
      </c>
      <c r="E863" s="0" t="n">
        <v>777</v>
      </c>
    </row>
    <row r="864" customFormat="false" ht="15" hidden="false" customHeight="false" outlineLevel="0" collapsed="false">
      <c r="A864" s="0" t="n">
        <v>2018</v>
      </c>
      <c r="B864" s="0" t="s">
        <v>282</v>
      </c>
      <c r="C864" s="0" t="s">
        <v>283</v>
      </c>
      <c r="D864" s="0" t="s">
        <v>75</v>
      </c>
      <c r="E864" s="0" t="n">
        <v>772</v>
      </c>
    </row>
    <row r="865" customFormat="false" ht="15" hidden="false" customHeight="false" outlineLevel="0" collapsed="false">
      <c r="A865" s="0" t="n">
        <v>2019</v>
      </c>
      <c r="B865" s="0" t="s">
        <v>282</v>
      </c>
      <c r="C865" s="0" t="s">
        <v>283</v>
      </c>
      <c r="D865" s="0" t="s">
        <v>75</v>
      </c>
      <c r="E865" s="0" t="n">
        <v>772</v>
      </c>
    </row>
    <row r="866" customFormat="false" ht="15" hidden="false" customHeight="false" outlineLevel="0" collapsed="false">
      <c r="A866" s="0" t="n">
        <v>2020</v>
      </c>
      <c r="B866" s="0" t="s">
        <v>282</v>
      </c>
      <c r="C866" s="0" t="s">
        <v>283</v>
      </c>
      <c r="D866" s="0" t="s">
        <v>75</v>
      </c>
      <c r="E866" s="0" t="n">
        <v>770</v>
      </c>
    </row>
    <row r="867" customFormat="false" ht="15" hidden="false" customHeight="false" outlineLevel="0" collapsed="false">
      <c r="A867" s="0" t="n">
        <v>2021</v>
      </c>
      <c r="B867" s="0" t="s">
        <v>282</v>
      </c>
      <c r="C867" s="0" t="s">
        <v>283</v>
      </c>
      <c r="D867" s="0" t="s">
        <v>75</v>
      </c>
      <c r="E867" s="0" t="n">
        <v>766</v>
      </c>
    </row>
    <row r="868" customFormat="false" ht="15" hidden="false" customHeight="false" outlineLevel="0" collapsed="false">
      <c r="A868" s="0" t="n">
        <v>2022</v>
      </c>
      <c r="B868" s="0" t="s">
        <v>282</v>
      </c>
      <c r="C868" s="0" t="s">
        <v>283</v>
      </c>
      <c r="D868" s="0" t="s">
        <v>75</v>
      </c>
      <c r="E868" s="0" t="n">
        <v>761</v>
      </c>
    </row>
    <row r="869" customFormat="false" ht="15" hidden="false" customHeight="false" outlineLevel="0" collapsed="false">
      <c r="A869" s="0" t="n">
        <v>2023</v>
      </c>
      <c r="B869" s="0" t="s">
        <v>282</v>
      </c>
      <c r="C869" s="0" t="s">
        <v>283</v>
      </c>
      <c r="D869" s="0" t="s">
        <v>75</v>
      </c>
      <c r="E869" s="0" t="n">
        <v>763</v>
      </c>
    </row>
    <row r="870" customFormat="false" ht="15" hidden="false" customHeight="false" outlineLevel="0" collapsed="false">
      <c r="A870" s="0" t="n">
        <v>2024</v>
      </c>
      <c r="B870" s="0" t="s">
        <v>282</v>
      </c>
      <c r="C870" s="0" t="s">
        <v>283</v>
      </c>
      <c r="D870" s="0" t="s">
        <v>75</v>
      </c>
      <c r="E870" s="0" t="n">
        <v>750</v>
      </c>
    </row>
    <row r="871" customFormat="false" ht="15" hidden="false" customHeight="false" outlineLevel="0" collapsed="false">
      <c r="A871" s="0" t="n">
        <v>2025</v>
      </c>
      <c r="B871" s="0" t="s">
        <v>282</v>
      </c>
      <c r="C871" s="0" t="s">
        <v>283</v>
      </c>
      <c r="D871" s="0" t="s">
        <v>75</v>
      </c>
      <c r="E871" s="0" t="n">
        <v>764</v>
      </c>
    </row>
    <row r="872" customFormat="false" ht="15" hidden="false" customHeight="false" outlineLevel="0" collapsed="false">
      <c r="A872" s="0" t="n">
        <v>2016</v>
      </c>
      <c r="B872" s="0" t="s">
        <v>276</v>
      </c>
      <c r="C872" s="0" t="s">
        <v>277</v>
      </c>
      <c r="D872" s="0" t="s">
        <v>75</v>
      </c>
      <c r="E872" s="0" t="n">
        <v>1707</v>
      </c>
    </row>
    <row r="873" customFormat="false" ht="15" hidden="false" customHeight="false" outlineLevel="0" collapsed="false">
      <c r="A873" s="0" t="n">
        <v>2017</v>
      </c>
      <c r="B873" s="0" t="s">
        <v>276</v>
      </c>
      <c r="C873" s="0" t="s">
        <v>277</v>
      </c>
      <c r="D873" s="0" t="s">
        <v>75</v>
      </c>
      <c r="E873" s="0" t="n">
        <v>1703</v>
      </c>
    </row>
    <row r="874" customFormat="false" ht="15" hidden="false" customHeight="false" outlineLevel="0" collapsed="false">
      <c r="A874" s="0" t="n">
        <v>2018</v>
      </c>
      <c r="B874" s="0" t="s">
        <v>276</v>
      </c>
      <c r="C874" s="0" t="s">
        <v>277</v>
      </c>
      <c r="D874" s="0" t="s">
        <v>75</v>
      </c>
      <c r="E874" s="0" t="n">
        <v>1703</v>
      </c>
    </row>
    <row r="875" customFormat="false" ht="15" hidden="false" customHeight="false" outlineLevel="0" collapsed="false">
      <c r="A875" s="0" t="n">
        <v>2019</v>
      </c>
      <c r="B875" s="0" t="s">
        <v>276</v>
      </c>
      <c r="C875" s="0" t="s">
        <v>277</v>
      </c>
      <c r="D875" s="0" t="s">
        <v>75</v>
      </c>
      <c r="E875" s="0" t="n">
        <v>1689</v>
      </c>
    </row>
    <row r="876" customFormat="false" ht="15" hidden="false" customHeight="false" outlineLevel="0" collapsed="false">
      <c r="A876" s="0" t="n">
        <v>2020</v>
      </c>
      <c r="B876" s="0" t="s">
        <v>276</v>
      </c>
      <c r="C876" s="0" t="s">
        <v>277</v>
      </c>
      <c r="D876" s="0" t="s">
        <v>75</v>
      </c>
      <c r="E876" s="0" t="n">
        <v>1690</v>
      </c>
    </row>
    <row r="877" customFormat="false" ht="15" hidden="false" customHeight="false" outlineLevel="0" collapsed="false">
      <c r="A877" s="0" t="n">
        <v>2021</v>
      </c>
      <c r="B877" s="0" t="s">
        <v>276</v>
      </c>
      <c r="C877" s="0" t="s">
        <v>277</v>
      </c>
      <c r="D877" s="0" t="s">
        <v>75</v>
      </c>
      <c r="E877" s="0" t="n">
        <v>1674</v>
      </c>
    </row>
    <row r="878" customFormat="false" ht="15" hidden="false" customHeight="false" outlineLevel="0" collapsed="false">
      <c r="A878" s="0" t="n">
        <v>2022</v>
      </c>
      <c r="B878" s="0" t="s">
        <v>276</v>
      </c>
      <c r="C878" s="0" t="s">
        <v>277</v>
      </c>
      <c r="D878" s="0" t="s">
        <v>75</v>
      </c>
      <c r="E878" s="0" t="n">
        <v>1668</v>
      </c>
    </row>
    <row r="879" customFormat="false" ht="15" hidden="false" customHeight="false" outlineLevel="0" collapsed="false">
      <c r="A879" s="0" t="n">
        <v>2023</v>
      </c>
      <c r="B879" s="0" t="s">
        <v>276</v>
      </c>
      <c r="C879" s="0" t="s">
        <v>277</v>
      </c>
      <c r="D879" s="0" t="s">
        <v>75</v>
      </c>
      <c r="E879" s="0" t="n">
        <v>1673</v>
      </c>
    </row>
    <row r="880" customFormat="false" ht="15" hidden="false" customHeight="false" outlineLevel="0" collapsed="false">
      <c r="A880" s="0" t="n">
        <v>2024</v>
      </c>
      <c r="B880" s="0" t="s">
        <v>276</v>
      </c>
      <c r="C880" s="0" t="s">
        <v>277</v>
      </c>
      <c r="D880" s="0" t="s">
        <v>75</v>
      </c>
      <c r="E880" s="0" t="n">
        <v>1700</v>
      </c>
    </row>
    <row r="881" customFormat="false" ht="15" hidden="false" customHeight="false" outlineLevel="0" collapsed="false">
      <c r="A881" s="0" t="n">
        <v>2025</v>
      </c>
      <c r="B881" s="0" t="s">
        <v>276</v>
      </c>
      <c r="C881" s="0" t="s">
        <v>277</v>
      </c>
      <c r="D881" s="0" t="s">
        <v>75</v>
      </c>
      <c r="E881" s="0" t="n">
        <v>1727</v>
      </c>
    </row>
    <row r="882" customFormat="false" ht="15" hidden="false" customHeight="false" outlineLevel="0" collapsed="false">
      <c r="A882" s="0" t="n">
        <v>2016</v>
      </c>
      <c r="B882" s="0" t="s">
        <v>278</v>
      </c>
      <c r="C882" s="0" t="s">
        <v>279</v>
      </c>
      <c r="D882" s="0" t="s">
        <v>72</v>
      </c>
      <c r="E882" s="0" t="n">
        <v>2867</v>
      </c>
    </row>
    <row r="883" customFormat="false" ht="15" hidden="false" customHeight="false" outlineLevel="0" collapsed="false">
      <c r="A883" s="0" t="n">
        <v>2017</v>
      </c>
      <c r="B883" s="0" t="s">
        <v>278</v>
      </c>
      <c r="C883" s="0" t="s">
        <v>279</v>
      </c>
      <c r="D883" s="0" t="s">
        <v>72</v>
      </c>
      <c r="E883" s="0" t="n">
        <v>2826</v>
      </c>
    </row>
    <row r="884" customFormat="false" ht="15" hidden="false" customHeight="false" outlineLevel="0" collapsed="false">
      <c r="A884" s="0" t="n">
        <v>2018</v>
      </c>
      <c r="B884" s="0" t="s">
        <v>278</v>
      </c>
      <c r="C884" s="0" t="s">
        <v>279</v>
      </c>
      <c r="D884" s="0" t="s">
        <v>72</v>
      </c>
      <c r="E884" s="0" t="n">
        <v>2786</v>
      </c>
    </row>
    <row r="885" customFormat="false" ht="15" hidden="false" customHeight="false" outlineLevel="0" collapsed="false">
      <c r="A885" s="0" t="n">
        <v>2019</v>
      </c>
      <c r="B885" s="0" t="s">
        <v>278</v>
      </c>
      <c r="C885" s="0" t="s">
        <v>279</v>
      </c>
      <c r="D885" s="0" t="s">
        <v>72</v>
      </c>
      <c r="E885" s="0" t="n">
        <v>2766</v>
      </c>
    </row>
    <row r="886" customFormat="false" ht="15" hidden="false" customHeight="false" outlineLevel="0" collapsed="false">
      <c r="A886" s="0" t="n">
        <v>2020</v>
      </c>
      <c r="B886" s="0" t="s">
        <v>278</v>
      </c>
      <c r="C886" s="0" t="s">
        <v>279</v>
      </c>
      <c r="D886" s="0" t="s">
        <v>72</v>
      </c>
      <c r="E886" s="0" t="n">
        <v>2762</v>
      </c>
    </row>
    <row r="887" customFormat="false" ht="15" hidden="false" customHeight="false" outlineLevel="0" collapsed="false">
      <c r="A887" s="0" t="n">
        <v>2021</v>
      </c>
      <c r="B887" s="0" t="s">
        <v>278</v>
      </c>
      <c r="C887" s="0" t="s">
        <v>279</v>
      </c>
      <c r="D887" s="0" t="s">
        <v>72</v>
      </c>
      <c r="E887" s="0" t="n">
        <v>2744</v>
      </c>
    </row>
    <row r="888" customFormat="false" ht="15" hidden="false" customHeight="false" outlineLevel="0" collapsed="false">
      <c r="A888" s="0" t="n">
        <v>2022</v>
      </c>
      <c r="B888" s="0" t="s">
        <v>278</v>
      </c>
      <c r="C888" s="0" t="s">
        <v>279</v>
      </c>
      <c r="D888" s="0" t="s">
        <v>72</v>
      </c>
      <c r="E888" s="0" t="n">
        <v>2745</v>
      </c>
    </row>
    <row r="889" customFormat="false" ht="15" hidden="false" customHeight="false" outlineLevel="0" collapsed="false">
      <c r="A889" s="0" t="n">
        <v>2023</v>
      </c>
      <c r="B889" s="0" t="s">
        <v>278</v>
      </c>
      <c r="C889" s="0" t="s">
        <v>279</v>
      </c>
      <c r="D889" s="0" t="s">
        <v>72</v>
      </c>
      <c r="E889" s="0" t="n">
        <v>2763</v>
      </c>
    </row>
    <row r="890" customFormat="false" ht="15" hidden="false" customHeight="false" outlineLevel="0" collapsed="false">
      <c r="A890" s="0" t="n">
        <v>2024</v>
      </c>
      <c r="B890" s="0" t="s">
        <v>278</v>
      </c>
      <c r="C890" s="0" t="s">
        <v>279</v>
      </c>
      <c r="D890" s="0" t="s">
        <v>72</v>
      </c>
      <c r="E890" s="0" t="n">
        <v>2746</v>
      </c>
    </row>
    <row r="891" customFormat="false" ht="15" hidden="false" customHeight="false" outlineLevel="0" collapsed="false">
      <c r="A891" s="0" t="n">
        <v>2025</v>
      </c>
      <c r="B891" s="0" t="s">
        <v>278</v>
      </c>
      <c r="C891" s="0" t="s">
        <v>279</v>
      </c>
      <c r="D891" s="0" t="s">
        <v>72</v>
      </c>
      <c r="E891" s="0" t="n">
        <v>2750</v>
      </c>
    </row>
    <row r="892" customFormat="false" ht="15" hidden="false" customHeight="false" outlineLevel="0" collapsed="false">
      <c r="A892" s="0" t="n">
        <v>2016</v>
      </c>
      <c r="B892" s="0" t="s">
        <v>288</v>
      </c>
      <c r="C892" s="0" t="s">
        <v>289</v>
      </c>
      <c r="D892" s="0" t="s">
        <v>74</v>
      </c>
      <c r="E892" s="0" t="n">
        <v>924</v>
      </c>
    </row>
    <row r="893" customFormat="false" ht="15" hidden="false" customHeight="false" outlineLevel="0" collapsed="false">
      <c r="A893" s="0" t="n">
        <v>2017</v>
      </c>
      <c r="B893" s="0" t="s">
        <v>288</v>
      </c>
      <c r="C893" s="0" t="s">
        <v>289</v>
      </c>
      <c r="D893" s="0" t="s">
        <v>74</v>
      </c>
      <c r="E893" s="0" t="n">
        <v>917</v>
      </c>
    </row>
    <row r="894" customFormat="false" ht="15" hidden="false" customHeight="false" outlineLevel="0" collapsed="false">
      <c r="A894" s="0" t="n">
        <v>2018</v>
      </c>
      <c r="B894" s="0" t="s">
        <v>288</v>
      </c>
      <c r="C894" s="0" t="s">
        <v>289</v>
      </c>
      <c r="D894" s="0" t="s">
        <v>74</v>
      </c>
      <c r="E894" s="0" t="n">
        <v>918</v>
      </c>
    </row>
    <row r="895" customFormat="false" ht="15" hidden="false" customHeight="false" outlineLevel="0" collapsed="false">
      <c r="A895" s="0" t="n">
        <v>2019</v>
      </c>
      <c r="B895" s="0" t="s">
        <v>288</v>
      </c>
      <c r="C895" s="0" t="s">
        <v>289</v>
      </c>
      <c r="D895" s="0" t="s">
        <v>74</v>
      </c>
      <c r="E895" s="0" t="n">
        <v>910</v>
      </c>
    </row>
    <row r="896" customFormat="false" ht="15" hidden="false" customHeight="false" outlineLevel="0" collapsed="false">
      <c r="A896" s="0" t="n">
        <v>2020</v>
      </c>
      <c r="B896" s="0" t="s">
        <v>288</v>
      </c>
      <c r="C896" s="0" t="s">
        <v>289</v>
      </c>
      <c r="D896" s="0" t="s">
        <v>74</v>
      </c>
      <c r="E896" s="0" t="n">
        <v>909</v>
      </c>
    </row>
    <row r="897" customFormat="false" ht="15" hidden="false" customHeight="false" outlineLevel="0" collapsed="false">
      <c r="A897" s="0" t="n">
        <v>2021</v>
      </c>
      <c r="B897" s="0" t="s">
        <v>288</v>
      </c>
      <c r="C897" s="0" t="s">
        <v>289</v>
      </c>
      <c r="D897" s="0" t="s">
        <v>74</v>
      </c>
      <c r="E897" s="0" t="n">
        <v>911</v>
      </c>
    </row>
    <row r="898" customFormat="false" ht="15" hidden="false" customHeight="false" outlineLevel="0" collapsed="false">
      <c r="A898" s="0" t="n">
        <v>2022</v>
      </c>
      <c r="B898" s="0" t="s">
        <v>288</v>
      </c>
      <c r="C898" s="0" t="s">
        <v>289</v>
      </c>
      <c r="D898" s="0" t="s">
        <v>74</v>
      </c>
      <c r="E898" s="0" t="n">
        <v>922</v>
      </c>
    </row>
    <row r="899" customFormat="false" ht="15" hidden="false" customHeight="false" outlineLevel="0" collapsed="false">
      <c r="A899" s="0" t="n">
        <v>2023</v>
      </c>
      <c r="B899" s="0" t="s">
        <v>288</v>
      </c>
      <c r="C899" s="0" t="s">
        <v>289</v>
      </c>
      <c r="D899" s="0" t="s">
        <v>74</v>
      </c>
      <c r="E899" s="0" t="n">
        <v>944</v>
      </c>
    </row>
    <row r="900" customFormat="false" ht="15" hidden="false" customHeight="false" outlineLevel="0" collapsed="false">
      <c r="A900" s="0" t="n">
        <v>2024</v>
      </c>
      <c r="B900" s="0" t="s">
        <v>288</v>
      </c>
      <c r="C900" s="0" t="s">
        <v>289</v>
      </c>
      <c r="D900" s="0" t="s">
        <v>74</v>
      </c>
      <c r="E900" s="0" t="n">
        <v>953</v>
      </c>
    </row>
    <row r="901" customFormat="false" ht="15" hidden="false" customHeight="false" outlineLevel="0" collapsed="false">
      <c r="A901" s="0" t="n">
        <v>2025</v>
      </c>
      <c r="B901" s="0" t="s">
        <v>288</v>
      </c>
      <c r="C901" s="0" t="s">
        <v>289</v>
      </c>
      <c r="D901" s="0" t="s">
        <v>74</v>
      </c>
      <c r="E901" s="0" t="n">
        <v>955</v>
      </c>
    </row>
    <row r="902" customFormat="false" ht="15" hidden="false" customHeight="false" outlineLevel="0" collapsed="false">
      <c r="A902" s="0" t="n">
        <v>2016</v>
      </c>
      <c r="B902" s="0" t="s">
        <v>290</v>
      </c>
      <c r="C902" s="0" t="s">
        <v>291</v>
      </c>
      <c r="D902" s="0" t="s">
        <v>74</v>
      </c>
      <c r="E902" s="0" t="n">
        <v>955</v>
      </c>
    </row>
    <row r="903" customFormat="false" ht="15" hidden="false" customHeight="false" outlineLevel="0" collapsed="false">
      <c r="A903" s="0" t="n">
        <v>2017</v>
      </c>
      <c r="B903" s="0" t="s">
        <v>290</v>
      </c>
      <c r="C903" s="0" t="s">
        <v>291</v>
      </c>
      <c r="D903" s="0" t="s">
        <v>74</v>
      </c>
      <c r="E903" s="0" t="n">
        <v>938</v>
      </c>
    </row>
    <row r="904" customFormat="false" ht="15" hidden="false" customHeight="false" outlineLevel="0" collapsed="false">
      <c r="A904" s="0" t="n">
        <v>2018</v>
      </c>
      <c r="B904" s="0" t="s">
        <v>290</v>
      </c>
      <c r="C904" s="0" t="s">
        <v>291</v>
      </c>
      <c r="D904" s="0" t="s">
        <v>74</v>
      </c>
      <c r="E904" s="0" t="n">
        <v>938</v>
      </c>
    </row>
    <row r="905" customFormat="false" ht="15" hidden="false" customHeight="false" outlineLevel="0" collapsed="false">
      <c r="A905" s="0" t="n">
        <v>2019</v>
      </c>
      <c r="B905" s="0" t="s">
        <v>290</v>
      </c>
      <c r="C905" s="0" t="s">
        <v>291</v>
      </c>
      <c r="D905" s="0" t="s">
        <v>74</v>
      </c>
      <c r="E905" s="0" t="n">
        <v>936</v>
      </c>
    </row>
    <row r="906" customFormat="false" ht="15" hidden="false" customHeight="false" outlineLevel="0" collapsed="false">
      <c r="A906" s="0" t="n">
        <v>2020</v>
      </c>
      <c r="B906" s="0" t="s">
        <v>290</v>
      </c>
      <c r="C906" s="0" t="s">
        <v>291</v>
      </c>
      <c r="D906" s="0" t="s">
        <v>74</v>
      </c>
      <c r="E906" s="0" t="n">
        <v>931</v>
      </c>
    </row>
    <row r="907" customFormat="false" ht="15" hidden="false" customHeight="false" outlineLevel="0" collapsed="false">
      <c r="A907" s="0" t="n">
        <v>2021</v>
      </c>
      <c r="B907" s="0" t="s">
        <v>290</v>
      </c>
      <c r="C907" s="0" t="s">
        <v>291</v>
      </c>
      <c r="D907" s="0" t="s">
        <v>74</v>
      </c>
      <c r="E907" s="0" t="n">
        <v>933</v>
      </c>
    </row>
    <row r="908" customFormat="false" ht="15" hidden="false" customHeight="false" outlineLevel="0" collapsed="false">
      <c r="A908" s="0" t="n">
        <v>2022</v>
      </c>
      <c r="B908" s="0" t="s">
        <v>290</v>
      </c>
      <c r="C908" s="0" t="s">
        <v>291</v>
      </c>
      <c r="D908" s="0" t="s">
        <v>74</v>
      </c>
      <c r="E908" s="0" t="n">
        <v>943</v>
      </c>
    </row>
    <row r="909" customFormat="false" ht="15" hidden="false" customHeight="false" outlineLevel="0" collapsed="false">
      <c r="A909" s="0" t="n">
        <v>2023</v>
      </c>
      <c r="B909" s="0" t="s">
        <v>290</v>
      </c>
      <c r="C909" s="0" t="s">
        <v>291</v>
      </c>
      <c r="D909" s="0" t="s">
        <v>74</v>
      </c>
      <c r="E909" s="0" t="n">
        <v>962</v>
      </c>
    </row>
    <row r="910" customFormat="false" ht="15" hidden="false" customHeight="false" outlineLevel="0" collapsed="false">
      <c r="A910" s="0" t="n">
        <v>2024</v>
      </c>
      <c r="B910" s="0" t="s">
        <v>290</v>
      </c>
      <c r="C910" s="0" t="s">
        <v>291</v>
      </c>
      <c r="D910" s="0" t="s">
        <v>74</v>
      </c>
      <c r="E910" s="0" t="n">
        <v>988</v>
      </c>
    </row>
    <row r="911" customFormat="false" ht="15" hidden="false" customHeight="false" outlineLevel="0" collapsed="false">
      <c r="A911" s="0" t="n">
        <v>2025</v>
      </c>
      <c r="B911" s="0" t="s">
        <v>290</v>
      </c>
      <c r="C911" s="0" t="s">
        <v>291</v>
      </c>
      <c r="D911" s="0" t="s">
        <v>74</v>
      </c>
      <c r="E911" s="0" t="n">
        <v>1018</v>
      </c>
    </row>
    <row r="912" customFormat="false" ht="15" hidden="false" customHeight="false" outlineLevel="0" collapsed="false">
      <c r="A912" s="0" t="n">
        <v>2016</v>
      </c>
      <c r="B912" s="0" t="s">
        <v>298</v>
      </c>
      <c r="C912" s="0" t="s">
        <v>299</v>
      </c>
      <c r="D912" s="0" t="s">
        <v>72</v>
      </c>
      <c r="E912" s="0" t="n">
        <v>2147</v>
      </c>
    </row>
    <row r="913" customFormat="false" ht="15" hidden="false" customHeight="false" outlineLevel="0" collapsed="false">
      <c r="A913" s="0" t="n">
        <v>2017</v>
      </c>
      <c r="B913" s="0" t="s">
        <v>298</v>
      </c>
      <c r="C913" s="0" t="s">
        <v>299</v>
      </c>
      <c r="D913" s="0" t="s">
        <v>72</v>
      </c>
      <c r="E913" s="0" t="n">
        <v>2143</v>
      </c>
    </row>
    <row r="914" customFormat="false" ht="15" hidden="false" customHeight="false" outlineLevel="0" collapsed="false">
      <c r="A914" s="0" t="n">
        <v>2018</v>
      </c>
      <c r="B914" s="0" t="s">
        <v>298</v>
      </c>
      <c r="C914" s="0" t="s">
        <v>299</v>
      </c>
      <c r="D914" s="0" t="s">
        <v>72</v>
      </c>
      <c r="E914" s="0" t="n">
        <v>2098</v>
      </c>
    </row>
    <row r="915" customFormat="false" ht="15" hidden="false" customHeight="false" outlineLevel="0" collapsed="false">
      <c r="A915" s="0" t="n">
        <v>2019</v>
      </c>
      <c r="B915" s="0" t="s">
        <v>298</v>
      </c>
      <c r="C915" s="0" t="s">
        <v>299</v>
      </c>
      <c r="D915" s="0" t="s">
        <v>72</v>
      </c>
      <c r="E915" s="0" t="n">
        <v>2130</v>
      </c>
    </row>
    <row r="916" customFormat="false" ht="15" hidden="false" customHeight="false" outlineLevel="0" collapsed="false">
      <c r="A916" s="0" t="n">
        <v>2020</v>
      </c>
      <c r="B916" s="0" t="s">
        <v>298</v>
      </c>
      <c r="C916" s="0" t="s">
        <v>299</v>
      </c>
      <c r="D916" s="0" t="s">
        <v>72</v>
      </c>
      <c r="E916" s="0" t="n">
        <v>2116</v>
      </c>
    </row>
    <row r="917" customFormat="false" ht="15" hidden="false" customHeight="false" outlineLevel="0" collapsed="false">
      <c r="A917" s="0" t="n">
        <v>2021</v>
      </c>
      <c r="B917" s="0" t="s">
        <v>298</v>
      </c>
      <c r="C917" s="0" t="s">
        <v>299</v>
      </c>
      <c r="D917" s="0" t="s">
        <v>72</v>
      </c>
      <c r="E917" s="0" t="n">
        <v>2102</v>
      </c>
    </row>
    <row r="918" customFormat="false" ht="15" hidden="false" customHeight="false" outlineLevel="0" collapsed="false">
      <c r="A918" s="0" t="n">
        <v>2022</v>
      </c>
      <c r="B918" s="0" t="s">
        <v>298</v>
      </c>
      <c r="C918" s="0" t="s">
        <v>299</v>
      </c>
      <c r="D918" s="0" t="s">
        <v>72</v>
      </c>
      <c r="E918" s="0" t="n">
        <v>2144</v>
      </c>
    </row>
    <row r="919" customFormat="false" ht="15" hidden="false" customHeight="false" outlineLevel="0" collapsed="false">
      <c r="A919" s="0" t="n">
        <v>2023</v>
      </c>
      <c r="B919" s="0" t="s">
        <v>298</v>
      </c>
      <c r="C919" s="0" t="s">
        <v>299</v>
      </c>
      <c r="D919" s="0" t="s">
        <v>72</v>
      </c>
      <c r="E919" s="0" t="n">
        <v>2225</v>
      </c>
    </row>
    <row r="920" customFormat="false" ht="15" hidden="false" customHeight="false" outlineLevel="0" collapsed="false">
      <c r="A920" s="0" t="n">
        <v>2024</v>
      </c>
      <c r="B920" s="0" t="s">
        <v>298</v>
      </c>
      <c r="C920" s="0" t="s">
        <v>299</v>
      </c>
      <c r="D920" s="0" t="s">
        <v>72</v>
      </c>
      <c r="E920" s="0" t="n">
        <v>2249</v>
      </c>
    </row>
    <row r="921" customFormat="false" ht="15" hidden="false" customHeight="false" outlineLevel="0" collapsed="false">
      <c r="A921" s="0" t="n">
        <v>2025</v>
      </c>
      <c r="B921" s="0" t="s">
        <v>298</v>
      </c>
      <c r="C921" s="0" t="s">
        <v>299</v>
      </c>
      <c r="D921" s="0" t="s">
        <v>72</v>
      </c>
      <c r="E921" s="0" t="n">
        <v>2270</v>
      </c>
    </row>
    <row r="922" customFormat="false" ht="15" hidden="false" customHeight="false" outlineLevel="0" collapsed="false">
      <c r="A922" s="0" t="n">
        <v>2016</v>
      </c>
      <c r="B922" s="0" t="s">
        <v>294</v>
      </c>
      <c r="C922" s="0" t="s">
        <v>295</v>
      </c>
      <c r="D922" s="0" t="s">
        <v>72</v>
      </c>
      <c r="E922" s="0" t="n">
        <v>1536</v>
      </c>
    </row>
    <row r="923" customFormat="false" ht="15" hidden="false" customHeight="false" outlineLevel="0" collapsed="false">
      <c r="A923" s="0" t="n">
        <v>2017</v>
      </c>
      <c r="B923" s="0" t="s">
        <v>294</v>
      </c>
      <c r="C923" s="0" t="s">
        <v>295</v>
      </c>
      <c r="D923" s="0" t="s">
        <v>72</v>
      </c>
      <c r="E923" s="0" t="n">
        <v>1510</v>
      </c>
    </row>
    <row r="924" customFormat="false" ht="15" hidden="false" customHeight="false" outlineLevel="0" collapsed="false">
      <c r="A924" s="0" t="n">
        <v>2018</v>
      </c>
      <c r="B924" s="0" t="s">
        <v>294</v>
      </c>
      <c r="C924" s="0" t="s">
        <v>295</v>
      </c>
      <c r="D924" s="0" t="s">
        <v>72</v>
      </c>
      <c r="E924" s="0" t="n">
        <v>1507</v>
      </c>
    </row>
    <row r="925" customFormat="false" ht="15" hidden="false" customHeight="false" outlineLevel="0" collapsed="false">
      <c r="A925" s="0" t="n">
        <v>2019</v>
      </c>
      <c r="B925" s="0" t="s">
        <v>294</v>
      </c>
      <c r="C925" s="0" t="s">
        <v>295</v>
      </c>
      <c r="D925" s="0" t="s">
        <v>72</v>
      </c>
      <c r="E925" s="0" t="n">
        <v>1507</v>
      </c>
    </row>
    <row r="926" customFormat="false" ht="15" hidden="false" customHeight="false" outlineLevel="0" collapsed="false">
      <c r="A926" s="0" t="n">
        <v>2020</v>
      </c>
      <c r="B926" s="0" t="s">
        <v>294</v>
      </c>
      <c r="C926" s="0" t="s">
        <v>295</v>
      </c>
      <c r="D926" s="0" t="s">
        <v>72</v>
      </c>
      <c r="E926" s="0" t="n">
        <v>1494</v>
      </c>
    </row>
    <row r="927" customFormat="false" ht="15" hidden="false" customHeight="false" outlineLevel="0" collapsed="false">
      <c r="A927" s="0" t="n">
        <v>2021</v>
      </c>
      <c r="B927" s="0" t="s">
        <v>294</v>
      </c>
      <c r="C927" s="0" t="s">
        <v>295</v>
      </c>
      <c r="D927" s="0" t="s">
        <v>72</v>
      </c>
      <c r="E927" s="0" t="n">
        <v>1492</v>
      </c>
    </row>
    <row r="928" customFormat="false" ht="15" hidden="false" customHeight="false" outlineLevel="0" collapsed="false">
      <c r="A928" s="0" t="n">
        <v>2022</v>
      </c>
      <c r="B928" s="0" t="s">
        <v>294</v>
      </c>
      <c r="C928" s="0" t="s">
        <v>295</v>
      </c>
      <c r="D928" s="0" t="s">
        <v>72</v>
      </c>
      <c r="E928" s="0" t="n">
        <v>1518</v>
      </c>
    </row>
    <row r="929" customFormat="false" ht="15" hidden="false" customHeight="false" outlineLevel="0" collapsed="false">
      <c r="A929" s="0" t="n">
        <v>2023</v>
      </c>
      <c r="B929" s="0" t="s">
        <v>294</v>
      </c>
      <c r="C929" s="0" t="s">
        <v>295</v>
      </c>
      <c r="D929" s="0" t="s">
        <v>72</v>
      </c>
      <c r="E929" s="0" t="n">
        <v>1544</v>
      </c>
    </row>
    <row r="930" customFormat="false" ht="15" hidden="false" customHeight="false" outlineLevel="0" collapsed="false">
      <c r="A930" s="0" t="n">
        <v>2024</v>
      </c>
      <c r="B930" s="0" t="s">
        <v>294</v>
      </c>
      <c r="C930" s="0" t="s">
        <v>295</v>
      </c>
      <c r="D930" s="0" t="s">
        <v>72</v>
      </c>
      <c r="E930" s="0" t="n">
        <v>1530</v>
      </c>
    </row>
    <row r="931" customFormat="false" ht="15" hidden="false" customHeight="false" outlineLevel="0" collapsed="false">
      <c r="A931" s="0" t="n">
        <v>2025</v>
      </c>
      <c r="B931" s="0" t="s">
        <v>294</v>
      </c>
      <c r="C931" s="0" t="s">
        <v>295</v>
      </c>
      <c r="D931" s="0" t="s">
        <v>72</v>
      </c>
      <c r="E931" s="0" t="n">
        <v>1545</v>
      </c>
    </row>
    <row r="932" customFormat="false" ht="15" hidden="false" customHeight="false" outlineLevel="0" collapsed="false">
      <c r="A932" s="0" t="n">
        <v>2016</v>
      </c>
      <c r="B932" s="0" t="s">
        <v>296</v>
      </c>
      <c r="C932" s="0" t="s">
        <v>297</v>
      </c>
      <c r="D932" s="0" t="s">
        <v>75</v>
      </c>
      <c r="E932" s="0" t="n">
        <v>919</v>
      </c>
    </row>
    <row r="933" customFormat="false" ht="15" hidden="false" customHeight="false" outlineLevel="0" collapsed="false">
      <c r="A933" s="0" t="n">
        <v>2017</v>
      </c>
      <c r="B933" s="0" t="s">
        <v>296</v>
      </c>
      <c r="C933" s="0" t="s">
        <v>297</v>
      </c>
      <c r="D933" s="0" t="s">
        <v>75</v>
      </c>
      <c r="E933" s="0" t="n">
        <v>927</v>
      </c>
    </row>
    <row r="934" customFormat="false" ht="15" hidden="false" customHeight="false" outlineLevel="0" collapsed="false">
      <c r="A934" s="0" t="n">
        <v>2018</v>
      </c>
      <c r="B934" s="0" t="s">
        <v>296</v>
      </c>
      <c r="C934" s="0" t="s">
        <v>297</v>
      </c>
      <c r="D934" s="0" t="s">
        <v>75</v>
      </c>
      <c r="E934" s="0" t="n">
        <v>918</v>
      </c>
    </row>
    <row r="935" customFormat="false" ht="15" hidden="false" customHeight="false" outlineLevel="0" collapsed="false">
      <c r="A935" s="0" t="n">
        <v>2019</v>
      </c>
      <c r="B935" s="0" t="s">
        <v>296</v>
      </c>
      <c r="C935" s="0" t="s">
        <v>297</v>
      </c>
      <c r="D935" s="0" t="s">
        <v>75</v>
      </c>
      <c r="E935" s="0" t="n">
        <v>905</v>
      </c>
    </row>
    <row r="936" customFormat="false" ht="15" hidden="false" customHeight="false" outlineLevel="0" collapsed="false">
      <c r="A936" s="0" t="n">
        <v>2020</v>
      </c>
      <c r="B936" s="0" t="s">
        <v>296</v>
      </c>
      <c r="C936" s="0" t="s">
        <v>297</v>
      </c>
      <c r="D936" s="0" t="s">
        <v>75</v>
      </c>
      <c r="E936" s="0" t="n">
        <v>893</v>
      </c>
    </row>
    <row r="937" customFormat="false" ht="15" hidden="false" customHeight="false" outlineLevel="0" collapsed="false">
      <c r="A937" s="0" t="n">
        <v>2021</v>
      </c>
      <c r="B937" s="0" t="s">
        <v>296</v>
      </c>
      <c r="C937" s="0" t="s">
        <v>297</v>
      </c>
      <c r="D937" s="0" t="s">
        <v>75</v>
      </c>
      <c r="E937" s="0" t="n">
        <v>901</v>
      </c>
    </row>
    <row r="938" customFormat="false" ht="15" hidden="false" customHeight="false" outlineLevel="0" collapsed="false">
      <c r="A938" s="0" t="n">
        <v>2022</v>
      </c>
      <c r="B938" s="0" t="s">
        <v>296</v>
      </c>
      <c r="C938" s="0" t="s">
        <v>297</v>
      </c>
      <c r="D938" s="0" t="s">
        <v>75</v>
      </c>
      <c r="E938" s="0" t="n">
        <v>903</v>
      </c>
    </row>
    <row r="939" customFormat="false" ht="15" hidden="false" customHeight="false" outlineLevel="0" collapsed="false">
      <c r="A939" s="0" t="n">
        <v>2023</v>
      </c>
      <c r="B939" s="0" t="s">
        <v>296</v>
      </c>
      <c r="C939" s="0" t="s">
        <v>297</v>
      </c>
      <c r="D939" s="0" t="s">
        <v>75</v>
      </c>
      <c r="E939" s="0" t="n">
        <v>920</v>
      </c>
    </row>
    <row r="940" customFormat="false" ht="15" hidden="false" customHeight="false" outlineLevel="0" collapsed="false">
      <c r="A940" s="0" t="n">
        <v>2024</v>
      </c>
      <c r="B940" s="0" t="s">
        <v>296</v>
      </c>
      <c r="C940" s="0" t="s">
        <v>297</v>
      </c>
      <c r="D940" s="0" t="s">
        <v>75</v>
      </c>
      <c r="E940" s="0" t="n">
        <v>941</v>
      </c>
    </row>
    <row r="941" customFormat="false" ht="15" hidden="false" customHeight="false" outlineLevel="0" collapsed="false">
      <c r="A941" s="0" t="n">
        <v>2025</v>
      </c>
      <c r="B941" s="0" t="s">
        <v>296</v>
      </c>
      <c r="C941" s="0" t="s">
        <v>297</v>
      </c>
      <c r="D941" s="0" t="s">
        <v>75</v>
      </c>
      <c r="E941" s="0" t="n">
        <v>950</v>
      </c>
    </row>
    <row r="942" customFormat="false" ht="15" hidden="false" customHeight="false" outlineLevel="0" collapsed="false">
      <c r="A942" s="0" t="n">
        <v>2016</v>
      </c>
      <c r="B942" s="0" t="s">
        <v>292</v>
      </c>
      <c r="C942" s="0" t="s">
        <v>293</v>
      </c>
      <c r="D942" s="0" t="s">
        <v>73</v>
      </c>
      <c r="E942" s="0" t="n">
        <v>1125</v>
      </c>
    </row>
    <row r="943" customFormat="false" ht="15" hidden="false" customHeight="false" outlineLevel="0" collapsed="false">
      <c r="A943" s="0" t="n">
        <v>2017</v>
      </c>
      <c r="B943" s="0" t="s">
        <v>292</v>
      </c>
      <c r="C943" s="0" t="s">
        <v>293</v>
      </c>
      <c r="D943" s="0" t="s">
        <v>73</v>
      </c>
      <c r="E943" s="0" t="n">
        <v>1116</v>
      </c>
    </row>
    <row r="944" customFormat="false" ht="15" hidden="false" customHeight="false" outlineLevel="0" collapsed="false">
      <c r="A944" s="0" t="n">
        <v>2018</v>
      </c>
      <c r="B944" s="0" t="s">
        <v>292</v>
      </c>
      <c r="C944" s="0" t="s">
        <v>293</v>
      </c>
      <c r="D944" s="0" t="s">
        <v>73</v>
      </c>
      <c r="E944" s="0" t="n">
        <v>1101</v>
      </c>
    </row>
    <row r="945" customFormat="false" ht="15" hidden="false" customHeight="false" outlineLevel="0" collapsed="false">
      <c r="A945" s="0" t="n">
        <v>2019</v>
      </c>
      <c r="B945" s="0" t="s">
        <v>292</v>
      </c>
      <c r="C945" s="0" t="s">
        <v>293</v>
      </c>
      <c r="D945" s="0" t="s">
        <v>73</v>
      </c>
      <c r="E945" s="0" t="n">
        <v>1067</v>
      </c>
    </row>
    <row r="946" customFormat="false" ht="15" hidden="false" customHeight="false" outlineLevel="0" collapsed="false">
      <c r="A946" s="0" t="n">
        <v>2020</v>
      </c>
      <c r="B946" s="0" t="s">
        <v>292</v>
      </c>
      <c r="C946" s="0" t="s">
        <v>293</v>
      </c>
      <c r="D946" s="0" t="s">
        <v>73</v>
      </c>
      <c r="E946" s="0" t="n">
        <v>1024</v>
      </c>
    </row>
    <row r="947" customFormat="false" ht="15" hidden="false" customHeight="false" outlineLevel="0" collapsed="false">
      <c r="A947" s="0" t="n">
        <v>2021</v>
      </c>
      <c r="B947" s="0" t="s">
        <v>292</v>
      </c>
      <c r="C947" s="0" t="s">
        <v>293</v>
      </c>
      <c r="D947" s="0" t="s">
        <v>73</v>
      </c>
      <c r="E947" s="0" t="n">
        <v>942</v>
      </c>
    </row>
    <row r="948" customFormat="false" ht="15" hidden="false" customHeight="false" outlineLevel="0" collapsed="false">
      <c r="A948" s="0" t="n">
        <v>2022</v>
      </c>
      <c r="B948" s="0" t="s">
        <v>292</v>
      </c>
      <c r="C948" s="0" t="s">
        <v>293</v>
      </c>
      <c r="D948" s="0" t="s">
        <v>73</v>
      </c>
      <c r="E948" s="0" t="n">
        <v>794</v>
      </c>
    </row>
    <row r="949" customFormat="false" ht="15" hidden="false" customHeight="false" outlineLevel="0" collapsed="false">
      <c r="A949" s="0" t="n">
        <v>2023</v>
      </c>
      <c r="B949" s="0" t="s">
        <v>292</v>
      </c>
      <c r="C949" s="0" t="s">
        <v>293</v>
      </c>
      <c r="D949" s="0" t="s">
        <v>73</v>
      </c>
      <c r="E949" s="0" t="n">
        <v>790</v>
      </c>
    </row>
    <row r="950" customFormat="false" ht="15" hidden="false" customHeight="false" outlineLevel="0" collapsed="false">
      <c r="A950" s="0" t="n">
        <v>2024</v>
      </c>
      <c r="B950" s="0" t="s">
        <v>292</v>
      </c>
      <c r="C950" s="0" t="s">
        <v>293</v>
      </c>
      <c r="D950" s="0" t="s">
        <v>73</v>
      </c>
      <c r="E950" s="0" t="n">
        <v>805</v>
      </c>
    </row>
    <row r="951" customFormat="false" ht="15" hidden="false" customHeight="false" outlineLevel="0" collapsed="false">
      <c r="A951" s="0" t="n">
        <v>2025</v>
      </c>
      <c r="B951" s="0" t="s">
        <v>292</v>
      </c>
      <c r="C951" s="0" t="s">
        <v>293</v>
      </c>
      <c r="D951" s="0" t="s">
        <v>73</v>
      </c>
      <c r="E951" s="0" t="n">
        <v>863</v>
      </c>
    </row>
    <row r="952" customFormat="false" ht="15" hidden="false" customHeight="false" outlineLevel="0" collapsed="false">
      <c r="A952" s="0" t="n">
        <v>2016</v>
      </c>
      <c r="B952" s="0" t="s">
        <v>302</v>
      </c>
      <c r="C952" s="0" t="s">
        <v>303</v>
      </c>
      <c r="D952" s="0" t="s">
        <v>72</v>
      </c>
      <c r="E952" s="0" t="n">
        <v>1861</v>
      </c>
    </row>
    <row r="953" customFormat="false" ht="15" hidden="false" customHeight="false" outlineLevel="0" collapsed="false">
      <c r="A953" s="0" t="n">
        <v>2017</v>
      </c>
      <c r="B953" s="0" t="s">
        <v>302</v>
      </c>
      <c r="C953" s="0" t="s">
        <v>303</v>
      </c>
      <c r="D953" s="0" t="s">
        <v>72</v>
      </c>
      <c r="E953" s="0" t="n">
        <v>1804</v>
      </c>
    </row>
    <row r="954" customFormat="false" ht="15" hidden="false" customHeight="false" outlineLevel="0" collapsed="false">
      <c r="A954" s="0" t="n">
        <v>2018</v>
      </c>
      <c r="B954" s="0" t="s">
        <v>302</v>
      </c>
      <c r="C954" s="0" t="s">
        <v>303</v>
      </c>
      <c r="D954" s="0" t="s">
        <v>72</v>
      </c>
      <c r="E954" s="0" t="n">
        <v>1776</v>
      </c>
    </row>
    <row r="955" customFormat="false" ht="15" hidden="false" customHeight="false" outlineLevel="0" collapsed="false">
      <c r="A955" s="0" t="n">
        <v>2019</v>
      </c>
      <c r="B955" s="0" t="s">
        <v>302</v>
      </c>
      <c r="C955" s="0" t="s">
        <v>303</v>
      </c>
      <c r="D955" s="0" t="s">
        <v>72</v>
      </c>
      <c r="E955" s="0" t="n">
        <v>1765</v>
      </c>
    </row>
    <row r="956" customFormat="false" ht="15" hidden="false" customHeight="false" outlineLevel="0" collapsed="false">
      <c r="A956" s="0" t="n">
        <v>2020</v>
      </c>
      <c r="B956" s="0" t="s">
        <v>302</v>
      </c>
      <c r="C956" s="0" t="s">
        <v>303</v>
      </c>
      <c r="D956" s="0" t="s">
        <v>72</v>
      </c>
      <c r="E956" s="0" t="n">
        <v>1766</v>
      </c>
    </row>
    <row r="957" customFormat="false" ht="15" hidden="false" customHeight="false" outlineLevel="0" collapsed="false">
      <c r="A957" s="0" t="n">
        <v>2021</v>
      </c>
      <c r="B957" s="0" t="s">
        <v>302</v>
      </c>
      <c r="C957" s="0" t="s">
        <v>303</v>
      </c>
      <c r="D957" s="0" t="s">
        <v>72</v>
      </c>
      <c r="E957" s="0" t="n">
        <v>1809</v>
      </c>
    </row>
    <row r="958" customFormat="false" ht="15" hidden="false" customHeight="false" outlineLevel="0" collapsed="false">
      <c r="A958" s="0" t="n">
        <v>2022</v>
      </c>
      <c r="B958" s="0" t="s">
        <v>302</v>
      </c>
      <c r="C958" s="0" t="s">
        <v>303</v>
      </c>
      <c r="D958" s="0" t="s">
        <v>72</v>
      </c>
      <c r="E958" s="0" t="n">
        <v>1910</v>
      </c>
    </row>
    <row r="959" customFormat="false" ht="15" hidden="false" customHeight="false" outlineLevel="0" collapsed="false">
      <c r="A959" s="0" t="n">
        <v>2023</v>
      </c>
      <c r="B959" s="0" t="s">
        <v>302</v>
      </c>
      <c r="C959" s="0" t="s">
        <v>303</v>
      </c>
      <c r="D959" s="0" t="s">
        <v>72</v>
      </c>
      <c r="E959" s="0" t="n">
        <v>1988</v>
      </c>
    </row>
    <row r="960" customFormat="false" ht="15" hidden="false" customHeight="false" outlineLevel="0" collapsed="false">
      <c r="A960" s="0" t="n">
        <v>2024</v>
      </c>
      <c r="B960" s="0" t="s">
        <v>302</v>
      </c>
      <c r="C960" s="0" t="s">
        <v>303</v>
      </c>
      <c r="D960" s="0" t="s">
        <v>72</v>
      </c>
      <c r="E960" s="0" t="n">
        <v>1813</v>
      </c>
    </row>
    <row r="961" customFormat="false" ht="15" hidden="false" customHeight="false" outlineLevel="0" collapsed="false">
      <c r="A961" s="0" t="n">
        <v>2025</v>
      </c>
      <c r="B961" s="0" t="s">
        <v>302</v>
      </c>
      <c r="C961" s="0" t="s">
        <v>303</v>
      </c>
      <c r="D961" s="0" t="s">
        <v>72</v>
      </c>
      <c r="E961" s="0" t="n">
        <v>1926</v>
      </c>
    </row>
    <row r="962" customFormat="false" ht="15" hidden="false" customHeight="false" outlineLevel="0" collapsed="false">
      <c r="A962" s="0" t="n">
        <v>2016</v>
      </c>
      <c r="B962" s="0" t="s">
        <v>300</v>
      </c>
      <c r="C962" s="0" t="s">
        <v>301</v>
      </c>
      <c r="D962" s="0" t="s">
        <v>72</v>
      </c>
      <c r="E962" s="0" t="n">
        <v>1272</v>
      </c>
    </row>
    <row r="963" customFormat="false" ht="15" hidden="false" customHeight="false" outlineLevel="0" collapsed="false">
      <c r="A963" s="0" t="n">
        <v>2017</v>
      </c>
      <c r="B963" s="0" t="s">
        <v>300</v>
      </c>
      <c r="C963" s="0" t="s">
        <v>301</v>
      </c>
      <c r="D963" s="0" t="s">
        <v>72</v>
      </c>
      <c r="E963" s="0" t="n">
        <v>1265</v>
      </c>
    </row>
    <row r="964" customFormat="false" ht="15" hidden="false" customHeight="false" outlineLevel="0" collapsed="false">
      <c r="A964" s="0" t="n">
        <v>2018</v>
      </c>
      <c r="B964" s="0" t="s">
        <v>300</v>
      </c>
      <c r="C964" s="0" t="s">
        <v>301</v>
      </c>
      <c r="D964" s="0" t="s">
        <v>72</v>
      </c>
      <c r="E964" s="0" t="n">
        <v>1264</v>
      </c>
    </row>
    <row r="965" customFormat="false" ht="15" hidden="false" customHeight="false" outlineLevel="0" collapsed="false">
      <c r="A965" s="0" t="n">
        <v>2019</v>
      </c>
      <c r="B965" s="0" t="s">
        <v>300</v>
      </c>
      <c r="C965" s="0" t="s">
        <v>301</v>
      </c>
      <c r="D965" s="0" t="s">
        <v>72</v>
      </c>
      <c r="E965" s="0" t="n">
        <v>1264</v>
      </c>
    </row>
    <row r="966" customFormat="false" ht="15" hidden="false" customHeight="false" outlineLevel="0" collapsed="false">
      <c r="A966" s="0" t="n">
        <v>2020</v>
      </c>
      <c r="B966" s="0" t="s">
        <v>300</v>
      </c>
      <c r="C966" s="0" t="s">
        <v>301</v>
      </c>
      <c r="D966" s="0" t="s">
        <v>72</v>
      </c>
      <c r="E966" s="0" t="n">
        <v>1265</v>
      </c>
    </row>
    <row r="967" customFormat="false" ht="15" hidden="false" customHeight="false" outlineLevel="0" collapsed="false">
      <c r="A967" s="0" t="n">
        <v>2021</v>
      </c>
      <c r="B967" s="0" t="s">
        <v>300</v>
      </c>
      <c r="C967" s="0" t="s">
        <v>301</v>
      </c>
      <c r="D967" s="0" t="s">
        <v>72</v>
      </c>
      <c r="E967" s="0" t="n">
        <v>1266</v>
      </c>
    </row>
    <row r="968" customFormat="false" ht="15" hidden="false" customHeight="false" outlineLevel="0" collapsed="false">
      <c r="A968" s="0" t="n">
        <v>2022</v>
      </c>
      <c r="B968" s="0" t="s">
        <v>300</v>
      </c>
      <c r="C968" s="0" t="s">
        <v>301</v>
      </c>
      <c r="D968" s="0" t="s">
        <v>72</v>
      </c>
      <c r="E968" s="0" t="n">
        <v>1288</v>
      </c>
    </row>
    <row r="969" customFormat="false" ht="15" hidden="false" customHeight="false" outlineLevel="0" collapsed="false">
      <c r="A969" s="0" t="n">
        <v>2023</v>
      </c>
      <c r="B969" s="0" t="s">
        <v>300</v>
      </c>
      <c r="C969" s="0" t="s">
        <v>301</v>
      </c>
      <c r="D969" s="0" t="s">
        <v>72</v>
      </c>
      <c r="E969" s="0" t="n">
        <v>1319</v>
      </c>
    </row>
    <row r="970" customFormat="false" ht="15" hidden="false" customHeight="false" outlineLevel="0" collapsed="false">
      <c r="A970" s="0" t="n">
        <v>2024</v>
      </c>
      <c r="B970" s="0" t="s">
        <v>300</v>
      </c>
      <c r="C970" s="0" t="s">
        <v>301</v>
      </c>
      <c r="D970" s="0" t="s">
        <v>72</v>
      </c>
      <c r="E970" s="0" t="n">
        <v>1319</v>
      </c>
    </row>
    <row r="971" customFormat="false" ht="15" hidden="false" customHeight="false" outlineLevel="0" collapsed="false">
      <c r="A971" s="0" t="n">
        <v>2025</v>
      </c>
      <c r="B971" s="0" t="s">
        <v>300</v>
      </c>
      <c r="C971" s="0" t="s">
        <v>301</v>
      </c>
      <c r="D971" s="0" t="s">
        <v>72</v>
      </c>
      <c r="E971" s="0" t="n">
        <v>1334</v>
      </c>
    </row>
    <row r="972" customFormat="false" ht="15" hidden="false" customHeight="false" outlineLevel="0" collapsed="false">
      <c r="A972" s="0" t="n">
        <v>2016</v>
      </c>
      <c r="B972" s="0" t="s">
        <v>304</v>
      </c>
      <c r="C972" s="0" t="s">
        <v>305</v>
      </c>
      <c r="D972" s="0" t="s">
        <v>72</v>
      </c>
      <c r="E972" s="0" t="n">
        <v>1087</v>
      </c>
    </row>
    <row r="973" customFormat="false" ht="15" hidden="false" customHeight="false" outlineLevel="0" collapsed="false">
      <c r="A973" s="0" t="n">
        <v>2017</v>
      </c>
      <c r="B973" s="0" t="s">
        <v>304</v>
      </c>
      <c r="C973" s="0" t="s">
        <v>305</v>
      </c>
      <c r="D973" s="0" t="s">
        <v>72</v>
      </c>
      <c r="E973" s="0" t="n">
        <v>1106</v>
      </c>
    </row>
    <row r="974" customFormat="false" ht="15" hidden="false" customHeight="false" outlineLevel="0" collapsed="false">
      <c r="A974" s="0" t="n">
        <v>2018</v>
      </c>
      <c r="B974" s="0" t="s">
        <v>304</v>
      </c>
      <c r="C974" s="0" t="s">
        <v>305</v>
      </c>
      <c r="D974" s="0" t="s">
        <v>72</v>
      </c>
      <c r="E974" s="0" t="n">
        <v>1109</v>
      </c>
    </row>
    <row r="975" customFormat="false" ht="15" hidden="false" customHeight="false" outlineLevel="0" collapsed="false">
      <c r="A975" s="0" t="n">
        <v>2019</v>
      </c>
      <c r="B975" s="0" t="s">
        <v>304</v>
      </c>
      <c r="C975" s="0" t="s">
        <v>305</v>
      </c>
      <c r="D975" s="0" t="s">
        <v>72</v>
      </c>
      <c r="E975" s="0" t="n">
        <v>1108</v>
      </c>
    </row>
    <row r="976" customFormat="false" ht="15" hidden="false" customHeight="false" outlineLevel="0" collapsed="false">
      <c r="A976" s="0" t="n">
        <v>2020</v>
      </c>
      <c r="B976" s="0" t="s">
        <v>304</v>
      </c>
      <c r="C976" s="0" t="s">
        <v>305</v>
      </c>
      <c r="D976" s="0" t="s">
        <v>72</v>
      </c>
      <c r="E976" s="0" t="n">
        <v>1104</v>
      </c>
    </row>
    <row r="977" customFormat="false" ht="15" hidden="false" customHeight="false" outlineLevel="0" collapsed="false">
      <c r="A977" s="0" t="n">
        <v>2021</v>
      </c>
      <c r="B977" s="0" t="s">
        <v>304</v>
      </c>
      <c r="C977" s="0" t="s">
        <v>305</v>
      </c>
      <c r="D977" s="0" t="s">
        <v>72</v>
      </c>
      <c r="E977" s="0" t="n">
        <v>1091</v>
      </c>
    </row>
    <row r="978" customFormat="false" ht="15" hidden="false" customHeight="false" outlineLevel="0" collapsed="false">
      <c r="A978" s="0" t="n">
        <v>2022</v>
      </c>
      <c r="B978" s="0" t="s">
        <v>304</v>
      </c>
      <c r="C978" s="0" t="s">
        <v>305</v>
      </c>
      <c r="D978" s="0" t="s">
        <v>72</v>
      </c>
      <c r="E978" s="0" t="n">
        <v>1074</v>
      </c>
    </row>
    <row r="979" customFormat="false" ht="15" hidden="false" customHeight="false" outlineLevel="0" collapsed="false">
      <c r="A979" s="0" t="n">
        <v>2023</v>
      </c>
      <c r="B979" s="0" t="s">
        <v>304</v>
      </c>
      <c r="C979" s="0" t="s">
        <v>305</v>
      </c>
      <c r="D979" s="0" t="s">
        <v>72</v>
      </c>
      <c r="E979" s="0" t="n">
        <v>1078</v>
      </c>
    </row>
    <row r="980" customFormat="false" ht="15" hidden="false" customHeight="false" outlineLevel="0" collapsed="false">
      <c r="A980" s="0" t="n">
        <v>2024</v>
      </c>
      <c r="B980" s="0" t="s">
        <v>304</v>
      </c>
      <c r="C980" s="0" t="s">
        <v>305</v>
      </c>
      <c r="D980" s="0" t="s">
        <v>72</v>
      </c>
      <c r="E980" s="0" t="n">
        <v>1093</v>
      </c>
    </row>
    <row r="981" customFormat="false" ht="15" hidden="false" customHeight="false" outlineLevel="0" collapsed="false">
      <c r="A981" s="0" t="n">
        <v>2025</v>
      </c>
      <c r="B981" s="0" t="s">
        <v>304</v>
      </c>
      <c r="C981" s="0" t="s">
        <v>305</v>
      </c>
      <c r="D981" s="0" t="s">
        <v>72</v>
      </c>
      <c r="E981" s="0" t="n">
        <v>1096</v>
      </c>
    </row>
    <row r="982" customFormat="false" ht="15" hidden="false" customHeight="false" outlineLevel="0" collapsed="false">
      <c r="A982" s="0" t="n">
        <v>2016</v>
      </c>
      <c r="B982" s="0" t="s">
        <v>306</v>
      </c>
      <c r="C982" s="0" t="s">
        <v>307</v>
      </c>
      <c r="D982" s="0" t="s">
        <v>72</v>
      </c>
      <c r="E982" s="0" t="n">
        <v>1211</v>
      </c>
    </row>
    <row r="983" customFormat="false" ht="15" hidden="false" customHeight="false" outlineLevel="0" collapsed="false">
      <c r="A983" s="0" t="n">
        <v>2017</v>
      </c>
      <c r="B983" s="0" t="s">
        <v>306</v>
      </c>
      <c r="C983" s="0" t="s">
        <v>307</v>
      </c>
      <c r="D983" s="0" t="s">
        <v>72</v>
      </c>
      <c r="E983" s="0" t="n">
        <v>1205</v>
      </c>
    </row>
    <row r="984" customFormat="false" ht="15" hidden="false" customHeight="false" outlineLevel="0" collapsed="false">
      <c r="A984" s="0" t="n">
        <v>2018</v>
      </c>
      <c r="B984" s="0" t="s">
        <v>306</v>
      </c>
      <c r="C984" s="0" t="s">
        <v>307</v>
      </c>
      <c r="D984" s="0" t="s">
        <v>72</v>
      </c>
      <c r="E984" s="0" t="n">
        <v>1194</v>
      </c>
    </row>
    <row r="985" customFormat="false" ht="15" hidden="false" customHeight="false" outlineLevel="0" collapsed="false">
      <c r="A985" s="0" t="n">
        <v>2019</v>
      </c>
      <c r="B985" s="0" t="s">
        <v>306</v>
      </c>
      <c r="C985" s="0" t="s">
        <v>307</v>
      </c>
      <c r="D985" s="0" t="s">
        <v>72</v>
      </c>
      <c r="E985" s="0" t="n">
        <v>1189</v>
      </c>
    </row>
    <row r="986" customFormat="false" ht="15" hidden="false" customHeight="false" outlineLevel="0" collapsed="false">
      <c r="A986" s="0" t="n">
        <v>2020</v>
      </c>
      <c r="B986" s="0" t="s">
        <v>306</v>
      </c>
      <c r="C986" s="0" t="s">
        <v>307</v>
      </c>
      <c r="D986" s="0" t="s">
        <v>72</v>
      </c>
      <c r="E986" s="0" t="n">
        <v>1195</v>
      </c>
    </row>
    <row r="987" customFormat="false" ht="15" hidden="false" customHeight="false" outlineLevel="0" collapsed="false">
      <c r="A987" s="0" t="n">
        <v>2021</v>
      </c>
      <c r="B987" s="0" t="s">
        <v>306</v>
      </c>
      <c r="C987" s="0" t="s">
        <v>307</v>
      </c>
      <c r="D987" s="0" t="s">
        <v>72</v>
      </c>
      <c r="E987" s="0" t="n">
        <v>1210</v>
      </c>
    </row>
    <row r="988" customFormat="false" ht="15" hidden="false" customHeight="false" outlineLevel="0" collapsed="false">
      <c r="A988" s="0" t="n">
        <v>2022</v>
      </c>
      <c r="B988" s="0" t="s">
        <v>306</v>
      </c>
      <c r="C988" s="0" t="s">
        <v>307</v>
      </c>
      <c r="D988" s="0" t="s">
        <v>72</v>
      </c>
      <c r="E988" s="0" t="n">
        <v>1222</v>
      </c>
    </row>
    <row r="989" customFormat="false" ht="15" hidden="false" customHeight="false" outlineLevel="0" collapsed="false">
      <c r="A989" s="0" t="n">
        <v>2023</v>
      </c>
      <c r="B989" s="0" t="s">
        <v>306</v>
      </c>
      <c r="C989" s="0" t="s">
        <v>307</v>
      </c>
      <c r="D989" s="0" t="s">
        <v>72</v>
      </c>
      <c r="E989" s="0" t="n">
        <v>1246</v>
      </c>
    </row>
    <row r="990" customFormat="false" ht="15" hidden="false" customHeight="false" outlineLevel="0" collapsed="false">
      <c r="A990" s="0" t="n">
        <v>2024</v>
      </c>
      <c r="B990" s="0" t="s">
        <v>306</v>
      </c>
      <c r="C990" s="0" t="s">
        <v>307</v>
      </c>
      <c r="D990" s="0" t="s">
        <v>72</v>
      </c>
      <c r="E990" s="0" t="n">
        <v>1292</v>
      </c>
    </row>
    <row r="991" customFormat="false" ht="15" hidden="false" customHeight="false" outlineLevel="0" collapsed="false">
      <c r="A991" s="0" t="n">
        <v>2025</v>
      </c>
      <c r="B991" s="0" t="s">
        <v>306</v>
      </c>
      <c r="C991" s="0" t="s">
        <v>307</v>
      </c>
      <c r="D991" s="0" t="s">
        <v>72</v>
      </c>
      <c r="E991" s="0" t="n">
        <v>1391</v>
      </c>
    </row>
    <row r="992" customFormat="false" ht="15" hidden="false" customHeight="false" outlineLevel="0" collapsed="false">
      <c r="A992" s="0" t="n">
        <v>2016</v>
      </c>
      <c r="B992" s="0" t="s">
        <v>310</v>
      </c>
      <c r="C992" s="0" t="s">
        <v>311</v>
      </c>
      <c r="D992" s="0" t="s">
        <v>72</v>
      </c>
    </row>
    <row r="993" customFormat="false" ht="15" hidden="false" customHeight="false" outlineLevel="0" collapsed="false">
      <c r="A993" s="0" t="n">
        <v>2017</v>
      </c>
      <c r="B993" s="0" t="s">
        <v>310</v>
      </c>
      <c r="C993" s="0" t="s">
        <v>311</v>
      </c>
      <c r="D993" s="0" t="s">
        <v>72</v>
      </c>
      <c r="E993" s="0" t="n">
        <v>1287</v>
      </c>
    </row>
    <row r="994" customFormat="false" ht="15" hidden="false" customHeight="false" outlineLevel="0" collapsed="false">
      <c r="A994" s="0" t="n">
        <v>2018</v>
      </c>
      <c r="B994" s="0" t="s">
        <v>310</v>
      </c>
      <c r="C994" s="0" t="s">
        <v>311</v>
      </c>
      <c r="D994" s="0" t="s">
        <v>72</v>
      </c>
      <c r="E994" s="0" t="n">
        <v>1280</v>
      </c>
    </row>
    <row r="995" customFormat="false" ht="15" hidden="false" customHeight="false" outlineLevel="0" collapsed="false">
      <c r="A995" s="0" t="n">
        <v>2019</v>
      </c>
      <c r="B995" s="0" t="s">
        <v>310</v>
      </c>
      <c r="C995" s="0" t="s">
        <v>311</v>
      </c>
      <c r="D995" s="0" t="s">
        <v>72</v>
      </c>
      <c r="E995" s="0" t="n">
        <v>1277</v>
      </c>
    </row>
    <row r="996" customFormat="false" ht="15" hidden="false" customHeight="false" outlineLevel="0" collapsed="false">
      <c r="A996" s="0" t="n">
        <v>2020</v>
      </c>
      <c r="B996" s="0" t="s">
        <v>310</v>
      </c>
      <c r="C996" s="0" t="s">
        <v>311</v>
      </c>
      <c r="D996" s="0" t="s">
        <v>72</v>
      </c>
      <c r="E996" s="0" t="n">
        <v>1271</v>
      </c>
    </row>
    <row r="997" customFormat="false" ht="15" hidden="false" customHeight="false" outlineLevel="0" collapsed="false">
      <c r="A997" s="0" t="n">
        <v>2021</v>
      </c>
      <c r="B997" s="0" t="s">
        <v>310</v>
      </c>
      <c r="C997" s="0" t="s">
        <v>311</v>
      </c>
      <c r="D997" s="0" t="s">
        <v>72</v>
      </c>
      <c r="E997" s="0" t="n">
        <v>1243</v>
      </c>
    </row>
    <row r="998" customFormat="false" ht="15" hidden="false" customHeight="false" outlineLevel="0" collapsed="false">
      <c r="A998" s="0" t="n">
        <v>2022</v>
      </c>
      <c r="B998" s="0" t="s">
        <v>310</v>
      </c>
      <c r="C998" s="0" t="s">
        <v>311</v>
      </c>
      <c r="D998" s="0" t="s">
        <v>72</v>
      </c>
      <c r="E998" s="0" t="n">
        <v>1238</v>
      </c>
    </row>
    <row r="999" customFormat="false" ht="15" hidden="false" customHeight="false" outlineLevel="0" collapsed="false">
      <c r="A999" s="0" t="n">
        <v>2023</v>
      </c>
      <c r="B999" s="0" t="s">
        <v>310</v>
      </c>
      <c r="C999" s="0" t="s">
        <v>311</v>
      </c>
      <c r="D999" s="0" t="s">
        <v>72</v>
      </c>
      <c r="E999" s="0" t="n">
        <v>1250</v>
      </c>
    </row>
    <row r="1000" customFormat="false" ht="15" hidden="false" customHeight="false" outlineLevel="0" collapsed="false">
      <c r="A1000" s="0" t="n">
        <v>2024</v>
      </c>
      <c r="B1000" s="0" t="s">
        <v>310</v>
      </c>
      <c r="C1000" s="0" t="s">
        <v>311</v>
      </c>
      <c r="D1000" s="0" t="s">
        <v>72</v>
      </c>
      <c r="E1000" s="0" t="n">
        <v>1263</v>
      </c>
    </row>
    <row r="1001" customFormat="false" ht="15" hidden="false" customHeight="false" outlineLevel="0" collapsed="false">
      <c r="A1001" s="0" t="n">
        <v>2025</v>
      </c>
      <c r="B1001" s="0" t="s">
        <v>310</v>
      </c>
      <c r="C1001" s="0" t="s">
        <v>311</v>
      </c>
      <c r="D1001" s="0" t="s">
        <v>72</v>
      </c>
      <c r="E1001" s="0" t="n">
        <v>1275</v>
      </c>
    </row>
    <row r="1002" customFormat="false" ht="15" hidden="false" customHeight="false" outlineLevel="0" collapsed="false">
      <c r="A1002" s="0" t="n">
        <v>2016</v>
      </c>
      <c r="B1002" s="0" t="s">
        <v>312</v>
      </c>
      <c r="C1002" s="0" t="s">
        <v>313</v>
      </c>
      <c r="D1002" s="0" t="s">
        <v>72</v>
      </c>
      <c r="E1002" s="0" t="n">
        <v>1081</v>
      </c>
    </row>
    <row r="1003" customFormat="false" ht="15" hidden="false" customHeight="false" outlineLevel="0" collapsed="false">
      <c r="A1003" s="0" t="n">
        <v>2017</v>
      </c>
      <c r="B1003" s="0" t="s">
        <v>312</v>
      </c>
      <c r="C1003" s="0" t="s">
        <v>313</v>
      </c>
      <c r="D1003" s="0" t="s">
        <v>72</v>
      </c>
      <c r="E1003" s="0" t="n">
        <v>1040</v>
      </c>
    </row>
    <row r="1004" customFormat="false" ht="15" hidden="false" customHeight="false" outlineLevel="0" collapsed="false">
      <c r="A1004" s="0" t="n">
        <v>2018</v>
      </c>
      <c r="B1004" s="0" t="s">
        <v>312</v>
      </c>
      <c r="C1004" s="0" t="s">
        <v>313</v>
      </c>
      <c r="D1004" s="0" t="s">
        <v>72</v>
      </c>
      <c r="E1004" s="0" t="n">
        <v>981</v>
      </c>
    </row>
    <row r="1005" customFormat="false" ht="15" hidden="false" customHeight="false" outlineLevel="0" collapsed="false">
      <c r="A1005" s="0" t="n">
        <v>2019</v>
      </c>
      <c r="B1005" s="0" t="s">
        <v>312</v>
      </c>
      <c r="C1005" s="0" t="s">
        <v>313</v>
      </c>
      <c r="D1005" s="0" t="s">
        <v>72</v>
      </c>
      <c r="E1005" s="0" t="n">
        <v>938</v>
      </c>
    </row>
    <row r="1006" customFormat="false" ht="15" hidden="false" customHeight="false" outlineLevel="0" collapsed="false">
      <c r="A1006" s="0" t="n">
        <v>2020</v>
      </c>
      <c r="B1006" s="0" t="s">
        <v>312</v>
      </c>
      <c r="C1006" s="0" t="s">
        <v>313</v>
      </c>
      <c r="D1006" s="0" t="s">
        <v>72</v>
      </c>
      <c r="E1006" s="0" t="n">
        <v>918</v>
      </c>
    </row>
    <row r="1007" customFormat="false" ht="15" hidden="false" customHeight="false" outlineLevel="0" collapsed="false">
      <c r="A1007" s="0" t="n">
        <v>2021</v>
      </c>
      <c r="B1007" s="0" t="s">
        <v>312</v>
      </c>
      <c r="C1007" s="0" t="s">
        <v>313</v>
      </c>
      <c r="D1007" s="0" t="s">
        <v>72</v>
      </c>
      <c r="E1007" s="0" t="n">
        <v>888</v>
      </c>
    </row>
    <row r="1008" customFormat="false" ht="15" hidden="false" customHeight="false" outlineLevel="0" collapsed="false">
      <c r="A1008" s="0" t="n">
        <v>2022</v>
      </c>
      <c r="B1008" s="0" t="s">
        <v>312</v>
      </c>
      <c r="C1008" s="0" t="s">
        <v>313</v>
      </c>
      <c r="D1008" s="0" t="s">
        <v>72</v>
      </c>
      <c r="E1008" s="0" t="n">
        <v>873</v>
      </c>
    </row>
    <row r="1009" customFormat="false" ht="15" hidden="false" customHeight="false" outlineLevel="0" collapsed="false">
      <c r="A1009" s="0" t="n">
        <v>2023</v>
      </c>
      <c r="B1009" s="0" t="s">
        <v>312</v>
      </c>
      <c r="C1009" s="0" t="s">
        <v>313</v>
      </c>
      <c r="D1009" s="0" t="s">
        <v>72</v>
      </c>
      <c r="E1009" s="0" t="n">
        <v>864</v>
      </c>
    </row>
    <row r="1010" customFormat="false" ht="15" hidden="false" customHeight="false" outlineLevel="0" collapsed="false">
      <c r="A1010" s="0" t="n">
        <v>2024</v>
      </c>
      <c r="B1010" s="0" t="s">
        <v>312</v>
      </c>
      <c r="C1010" s="0" t="s">
        <v>313</v>
      </c>
      <c r="D1010" s="0" t="s">
        <v>72</v>
      </c>
      <c r="E1010" s="0" t="n">
        <v>865</v>
      </c>
    </row>
    <row r="1011" customFormat="false" ht="15" hidden="false" customHeight="false" outlineLevel="0" collapsed="false">
      <c r="A1011" s="0" t="n">
        <v>2025</v>
      </c>
      <c r="B1011" s="0" t="s">
        <v>312</v>
      </c>
      <c r="C1011" s="0" t="s">
        <v>313</v>
      </c>
      <c r="D1011" s="0" t="s">
        <v>72</v>
      </c>
      <c r="E1011" s="0" t="n">
        <v>866</v>
      </c>
    </row>
    <row r="1012" customFormat="false" ht="15" hidden="false" customHeight="false" outlineLevel="0" collapsed="false">
      <c r="A1012" s="0" t="n">
        <v>2016</v>
      </c>
      <c r="B1012" s="0" t="s">
        <v>308</v>
      </c>
      <c r="C1012" s="0" t="s">
        <v>309</v>
      </c>
      <c r="D1012" s="0" t="s">
        <v>72</v>
      </c>
      <c r="E1012" s="0" t="n">
        <v>1911</v>
      </c>
    </row>
    <row r="1013" customFormat="false" ht="15" hidden="false" customHeight="false" outlineLevel="0" collapsed="false">
      <c r="A1013" s="0" t="n">
        <v>2017</v>
      </c>
      <c r="B1013" s="0" t="s">
        <v>308</v>
      </c>
      <c r="C1013" s="0" t="s">
        <v>309</v>
      </c>
      <c r="D1013" s="0" t="s">
        <v>72</v>
      </c>
      <c r="E1013" s="0" t="n">
        <v>1882</v>
      </c>
    </row>
    <row r="1014" customFormat="false" ht="15" hidden="false" customHeight="false" outlineLevel="0" collapsed="false">
      <c r="A1014" s="0" t="n">
        <v>2018</v>
      </c>
      <c r="B1014" s="0" t="s">
        <v>308</v>
      </c>
      <c r="C1014" s="0" t="s">
        <v>309</v>
      </c>
      <c r="D1014" s="0" t="s">
        <v>72</v>
      </c>
      <c r="E1014" s="0" t="n">
        <v>1872</v>
      </c>
    </row>
    <row r="1015" customFormat="false" ht="15" hidden="false" customHeight="false" outlineLevel="0" collapsed="false">
      <c r="A1015" s="0" t="n">
        <v>2019</v>
      </c>
      <c r="B1015" s="0" t="s">
        <v>308</v>
      </c>
      <c r="C1015" s="0" t="s">
        <v>309</v>
      </c>
      <c r="D1015" s="0" t="s">
        <v>72</v>
      </c>
      <c r="E1015" s="0" t="n">
        <v>1863</v>
      </c>
    </row>
    <row r="1016" customFormat="false" ht="15" hidden="false" customHeight="false" outlineLevel="0" collapsed="false">
      <c r="A1016" s="0" t="n">
        <v>2020</v>
      </c>
      <c r="B1016" s="0" t="s">
        <v>308</v>
      </c>
      <c r="C1016" s="0" t="s">
        <v>309</v>
      </c>
      <c r="D1016" s="0" t="s">
        <v>72</v>
      </c>
      <c r="E1016" s="0" t="n">
        <v>1866</v>
      </c>
    </row>
    <row r="1017" customFormat="false" ht="15" hidden="false" customHeight="false" outlineLevel="0" collapsed="false">
      <c r="A1017" s="0" t="n">
        <v>2021</v>
      </c>
      <c r="B1017" s="0" t="s">
        <v>308</v>
      </c>
      <c r="C1017" s="0" t="s">
        <v>309</v>
      </c>
      <c r="D1017" s="0" t="s">
        <v>72</v>
      </c>
      <c r="E1017" s="0" t="n">
        <v>1694</v>
      </c>
    </row>
    <row r="1018" customFormat="false" ht="15" hidden="false" customHeight="false" outlineLevel="0" collapsed="false">
      <c r="A1018" s="0" t="n">
        <v>2022</v>
      </c>
      <c r="B1018" s="0" t="s">
        <v>308</v>
      </c>
      <c r="C1018" s="0" t="s">
        <v>309</v>
      </c>
      <c r="D1018" s="0" t="s">
        <v>72</v>
      </c>
      <c r="E1018" s="0" t="n">
        <v>1701</v>
      </c>
    </row>
    <row r="1019" customFormat="false" ht="15" hidden="false" customHeight="false" outlineLevel="0" collapsed="false">
      <c r="A1019" s="0" t="n">
        <v>2023</v>
      </c>
      <c r="B1019" s="0" t="s">
        <v>308</v>
      </c>
      <c r="C1019" s="0" t="s">
        <v>309</v>
      </c>
      <c r="D1019" s="0" t="s">
        <v>72</v>
      </c>
      <c r="E1019" s="0" t="n">
        <v>1705</v>
      </c>
    </row>
    <row r="1020" customFormat="false" ht="15" hidden="false" customHeight="false" outlineLevel="0" collapsed="false">
      <c r="A1020" s="0" t="n">
        <v>2024</v>
      </c>
      <c r="B1020" s="0" t="s">
        <v>308</v>
      </c>
      <c r="C1020" s="0" t="s">
        <v>309</v>
      </c>
      <c r="D1020" s="0" t="s">
        <v>72</v>
      </c>
      <c r="E1020" s="0" t="n">
        <v>1721</v>
      </c>
    </row>
    <row r="1021" customFormat="false" ht="15" hidden="false" customHeight="false" outlineLevel="0" collapsed="false">
      <c r="A1021" s="0" t="n">
        <v>2025</v>
      </c>
      <c r="B1021" s="0" t="s">
        <v>308</v>
      </c>
      <c r="C1021" s="0" t="s">
        <v>309</v>
      </c>
      <c r="D1021" s="0" t="s">
        <v>72</v>
      </c>
      <c r="E1021" s="0" t="n">
        <v>1731</v>
      </c>
    </row>
    <row r="1022" customFormat="false" ht="15" hidden="false" customHeight="false" outlineLevel="0" collapsed="false">
      <c r="A1022" s="0" t="n">
        <v>2016</v>
      </c>
      <c r="B1022" s="0" t="s">
        <v>318</v>
      </c>
      <c r="C1022" s="0" t="s">
        <v>319</v>
      </c>
      <c r="D1022" s="0" t="s">
        <v>72</v>
      </c>
      <c r="E1022" s="0" t="n">
        <v>1433</v>
      </c>
    </row>
    <row r="1023" customFormat="false" ht="15" hidden="false" customHeight="false" outlineLevel="0" collapsed="false">
      <c r="A1023" s="0" t="n">
        <v>2017</v>
      </c>
      <c r="B1023" s="0" t="s">
        <v>318</v>
      </c>
      <c r="C1023" s="0" t="s">
        <v>319</v>
      </c>
      <c r="D1023" s="0" t="s">
        <v>72</v>
      </c>
      <c r="E1023" s="0" t="n">
        <v>1397</v>
      </c>
    </row>
    <row r="1024" customFormat="false" ht="15" hidden="false" customHeight="false" outlineLevel="0" collapsed="false">
      <c r="A1024" s="0" t="n">
        <v>2018</v>
      </c>
      <c r="B1024" s="0" t="s">
        <v>318</v>
      </c>
      <c r="C1024" s="0" t="s">
        <v>319</v>
      </c>
      <c r="D1024" s="0" t="s">
        <v>72</v>
      </c>
      <c r="E1024" s="0" t="n">
        <v>1375</v>
      </c>
    </row>
    <row r="1025" customFormat="false" ht="15" hidden="false" customHeight="false" outlineLevel="0" collapsed="false">
      <c r="A1025" s="0" t="n">
        <v>2019</v>
      </c>
      <c r="B1025" s="0" t="s">
        <v>318</v>
      </c>
      <c r="C1025" s="0" t="s">
        <v>319</v>
      </c>
      <c r="D1025" s="0" t="s">
        <v>72</v>
      </c>
      <c r="E1025" s="0" t="n">
        <v>1356</v>
      </c>
    </row>
    <row r="1026" customFormat="false" ht="15" hidden="false" customHeight="false" outlineLevel="0" collapsed="false">
      <c r="A1026" s="0" t="n">
        <v>2020</v>
      </c>
      <c r="B1026" s="0" t="s">
        <v>318</v>
      </c>
      <c r="C1026" s="0" t="s">
        <v>319</v>
      </c>
      <c r="D1026" s="0" t="s">
        <v>72</v>
      </c>
      <c r="E1026" s="0" t="n">
        <v>1350</v>
      </c>
    </row>
    <row r="1027" customFormat="false" ht="15" hidden="false" customHeight="false" outlineLevel="0" collapsed="false">
      <c r="A1027" s="0" t="n">
        <v>2021</v>
      </c>
      <c r="B1027" s="0" t="s">
        <v>318</v>
      </c>
      <c r="C1027" s="0" t="s">
        <v>319</v>
      </c>
      <c r="D1027" s="0" t="s">
        <v>72</v>
      </c>
      <c r="E1027" s="0" t="n">
        <v>1280</v>
      </c>
    </row>
    <row r="1028" customFormat="false" ht="15" hidden="false" customHeight="false" outlineLevel="0" collapsed="false">
      <c r="A1028" s="0" t="n">
        <v>2022</v>
      </c>
      <c r="B1028" s="0" t="s">
        <v>318</v>
      </c>
      <c r="C1028" s="0" t="s">
        <v>319</v>
      </c>
      <c r="D1028" s="0" t="s">
        <v>72</v>
      </c>
      <c r="E1028" s="0" t="n">
        <v>1293</v>
      </c>
    </row>
    <row r="1029" customFormat="false" ht="15" hidden="false" customHeight="false" outlineLevel="0" collapsed="false">
      <c r="A1029" s="0" t="n">
        <v>2023</v>
      </c>
      <c r="B1029" s="0" t="s">
        <v>318</v>
      </c>
      <c r="C1029" s="0" t="s">
        <v>319</v>
      </c>
      <c r="D1029" s="0" t="s">
        <v>72</v>
      </c>
      <c r="E1029" s="0" t="n">
        <v>1293</v>
      </c>
    </row>
    <row r="1030" customFormat="false" ht="15" hidden="false" customHeight="false" outlineLevel="0" collapsed="false">
      <c r="A1030" s="0" t="n">
        <v>2024</v>
      </c>
      <c r="B1030" s="0" t="s">
        <v>318</v>
      </c>
      <c r="C1030" s="0" t="s">
        <v>319</v>
      </c>
      <c r="D1030" s="0" t="s">
        <v>72</v>
      </c>
      <c r="E1030" s="0" t="n">
        <v>1321</v>
      </c>
    </row>
    <row r="1031" customFormat="false" ht="15" hidden="false" customHeight="false" outlineLevel="0" collapsed="false">
      <c r="A1031" s="0" t="n">
        <v>2025</v>
      </c>
      <c r="B1031" s="0" t="s">
        <v>318</v>
      </c>
      <c r="C1031" s="0" t="s">
        <v>319</v>
      </c>
      <c r="D1031" s="0" t="s">
        <v>72</v>
      </c>
      <c r="E1031" s="0" t="n">
        <v>1340</v>
      </c>
    </row>
    <row r="1032" customFormat="false" ht="15" hidden="false" customHeight="false" outlineLevel="0" collapsed="false">
      <c r="A1032" s="0" t="n">
        <v>2016</v>
      </c>
      <c r="B1032" s="0" t="s">
        <v>314</v>
      </c>
      <c r="C1032" s="0" t="s">
        <v>315</v>
      </c>
      <c r="D1032" s="0" t="s">
        <v>72</v>
      </c>
      <c r="E1032" s="0" t="n">
        <v>1404</v>
      </c>
    </row>
    <row r="1033" customFormat="false" ht="15" hidden="false" customHeight="false" outlineLevel="0" collapsed="false">
      <c r="A1033" s="0" t="n">
        <v>2017</v>
      </c>
      <c r="B1033" s="0" t="s">
        <v>314</v>
      </c>
      <c r="C1033" s="0" t="s">
        <v>315</v>
      </c>
      <c r="D1033" s="0" t="s">
        <v>72</v>
      </c>
      <c r="E1033" s="0" t="n">
        <v>1391</v>
      </c>
    </row>
    <row r="1034" customFormat="false" ht="15" hidden="false" customHeight="false" outlineLevel="0" collapsed="false">
      <c r="A1034" s="0" t="n">
        <v>2018</v>
      </c>
      <c r="B1034" s="0" t="s">
        <v>314</v>
      </c>
      <c r="C1034" s="0" t="s">
        <v>315</v>
      </c>
      <c r="D1034" s="0" t="s">
        <v>72</v>
      </c>
      <c r="E1034" s="0" t="n">
        <v>1398</v>
      </c>
    </row>
    <row r="1035" customFormat="false" ht="15" hidden="false" customHeight="false" outlineLevel="0" collapsed="false">
      <c r="A1035" s="0" t="n">
        <v>2019</v>
      </c>
      <c r="B1035" s="0" t="s">
        <v>314</v>
      </c>
      <c r="C1035" s="0" t="s">
        <v>315</v>
      </c>
      <c r="D1035" s="0" t="s">
        <v>72</v>
      </c>
      <c r="E1035" s="0" t="n">
        <v>1411</v>
      </c>
    </row>
    <row r="1036" customFormat="false" ht="15" hidden="false" customHeight="false" outlineLevel="0" collapsed="false">
      <c r="A1036" s="0" t="n">
        <v>2020</v>
      </c>
      <c r="B1036" s="0" t="s">
        <v>314</v>
      </c>
      <c r="C1036" s="0" t="s">
        <v>315</v>
      </c>
      <c r="D1036" s="0" t="s">
        <v>72</v>
      </c>
      <c r="E1036" s="0" t="n">
        <v>1404</v>
      </c>
    </row>
    <row r="1037" customFormat="false" ht="15" hidden="false" customHeight="false" outlineLevel="0" collapsed="false">
      <c r="A1037" s="0" t="n">
        <v>2021</v>
      </c>
      <c r="B1037" s="0" t="s">
        <v>314</v>
      </c>
      <c r="C1037" s="0" t="s">
        <v>315</v>
      </c>
      <c r="D1037" s="0" t="s">
        <v>72</v>
      </c>
      <c r="E1037" s="0" t="n">
        <v>1440</v>
      </c>
    </row>
    <row r="1038" customFormat="false" ht="15" hidden="false" customHeight="false" outlineLevel="0" collapsed="false">
      <c r="A1038" s="0" t="n">
        <v>2022</v>
      </c>
      <c r="B1038" s="0" t="s">
        <v>314</v>
      </c>
      <c r="C1038" s="0" t="s">
        <v>315</v>
      </c>
      <c r="D1038" s="0" t="s">
        <v>72</v>
      </c>
      <c r="E1038" s="0" t="n">
        <v>1471</v>
      </c>
    </row>
    <row r="1039" customFormat="false" ht="15" hidden="false" customHeight="false" outlineLevel="0" collapsed="false">
      <c r="A1039" s="0" t="n">
        <v>2023</v>
      </c>
      <c r="B1039" s="0" t="s">
        <v>314</v>
      </c>
      <c r="C1039" s="0" t="s">
        <v>315</v>
      </c>
      <c r="D1039" s="0" t="s">
        <v>72</v>
      </c>
      <c r="E1039" s="0" t="n">
        <v>1522</v>
      </c>
    </row>
    <row r="1040" customFormat="false" ht="15" hidden="false" customHeight="false" outlineLevel="0" collapsed="false">
      <c r="A1040" s="0" t="n">
        <v>2024</v>
      </c>
      <c r="B1040" s="0" t="s">
        <v>314</v>
      </c>
      <c r="C1040" s="0" t="s">
        <v>315</v>
      </c>
      <c r="D1040" s="0" t="s">
        <v>72</v>
      </c>
      <c r="E1040" s="0" t="n">
        <v>1608</v>
      </c>
    </row>
    <row r="1041" customFormat="false" ht="15" hidden="false" customHeight="false" outlineLevel="0" collapsed="false">
      <c r="A1041" s="0" t="n">
        <v>2025</v>
      </c>
      <c r="B1041" s="0" t="s">
        <v>314</v>
      </c>
      <c r="C1041" s="0" t="s">
        <v>315</v>
      </c>
      <c r="D1041" s="0" t="s">
        <v>72</v>
      </c>
      <c r="E1041" s="0" t="n">
        <v>1717</v>
      </c>
    </row>
    <row r="1042" customFormat="false" ht="15" hidden="false" customHeight="false" outlineLevel="0" collapsed="false">
      <c r="A1042" s="0" t="n">
        <v>2016</v>
      </c>
      <c r="B1042" s="0" t="s">
        <v>320</v>
      </c>
      <c r="C1042" s="0" t="s">
        <v>321</v>
      </c>
      <c r="D1042" s="0" t="s">
        <v>73</v>
      </c>
      <c r="E1042" s="0" t="n">
        <v>1266</v>
      </c>
    </row>
    <row r="1043" customFormat="false" ht="15" hidden="false" customHeight="false" outlineLevel="0" collapsed="false">
      <c r="A1043" s="0" t="n">
        <v>2017</v>
      </c>
      <c r="B1043" s="0" t="s">
        <v>320</v>
      </c>
      <c r="C1043" s="0" t="s">
        <v>321</v>
      </c>
      <c r="D1043" s="0" t="s">
        <v>73</v>
      </c>
      <c r="E1043" s="0" t="n">
        <v>1263</v>
      </c>
    </row>
    <row r="1044" customFormat="false" ht="15" hidden="false" customHeight="false" outlineLevel="0" collapsed="false">
      <c r="A1044" s="0" t="n">
        <v>2018</v>
      </c>
      <c r="B1044" s="0" t="s">
        <v>320</v>
      </c>
      <c r="C1044" s="0" t="s">
        <v>321</v>
      </c>
      <c r="D1044" s="0" t="s">
        <v>73</v>
      </c>
      <c r="E1044" s="0" t="n">
        <v>1264</v>
      </c>
    </row>
    <row r="1045" customFormat="false" ht="15" hidden="false" customHeight="false" outlineLevel="0" collapsed="false">
      <c r="A1045" s="0" t="n">
        <v>2019</v>
      </c>
      <c r="B1045" s="0" t="s">
        <v>320</v>
      </c>
      <c r="C1045" s="0" t="s">
        <v>321</v>
      </c>
      <c r="D1045" s="0" t="s">
        <v>73</v>
      </c>
      <c r="E1045" s="0" t="n">
        <v>1263</v>
      </c>
    </row>
    <row r="1046" customFormat="false" ht="15" hidden="false" customHeight="false" outlineLevel="0" collapsed="false">
      <c r="A1046" s="0" t="n">
        <v>2020</v>
      </c>
      <c r="B1046" s="0" t="s">
        <v>320</v>
      </c>
      <c r="C1046" s="0" t="s">
        <v>321</v>
      </c>
      <c r="D1046" s="0" t="s">
        <v>73</v>
      </c>
      <c r="E1046" s="0" t="n">
        <v>1247</v>
      </c>
    </row>
    <row r="1047" customFormat="false" ht="15" hidden="false" customHeight="false" outlineLevel="0" collapsed="false">
      <c r="A1047" s="0" t="n">
        <v>2021</v>
      </c>
      <c r="B1047" s="0" t="s">
        <v>320</v>
      </c>
      <c r="C1047" s="0" t="s">
        <v>321</v>
      </c>
      <c r="D1047" s="0" t="s">
        <v>73</v>
      </c>
      <c r="E1047" s="0" t="n">
        <v>1229</v>
      </c>
    </row>
    <row r="1048" customFormat="false" ht="15" hidden="false" customHeight="false" outlineLevel="0" collapsed="false">
      <c r="A1048" s="0" t="n">
        <v>2022</v>
      </c>
      <c r="B1048" s="0" t="s">
        <v>320</v>
      </c>
      <c r="C1048" s="0" t="s">
        <v>321</v>
      </c>
      <c r="D1048" s="0" t="s">
        <v>73</v>
      </c>
      <c r="E1048" s="0" t="n">
        <v>1204</v>
      </c>
    </row>
    <row r="1049" customFormat="false" ht="15" hidden="false" customHeight="false" outlineLevel="0" collapsed="false">
      <c r="A1049" s="0" t="n">
        <v>2023</v>
      </c>
      <c r="B1049" s="0" t="s">
        <v>320</v>
      </c>
      <c r="C1049" s="0" t="s">
        <v>321</v>
      </c>
      <c r="D1049" s="0" t="s">
        <v>73</v>
      </c>
      <c r="E1049" s="0" t="n">
        <v>1203</v>
      </c>
    </row>
    <row r="1050" customFormat="false" ht="15" hidden="false" customHeight="false" outlineLevel="0" collapsed="false">
      <c r="A1050" s="0" t="n">
        <v>2024</v>
      </c>
      <c r="B1050" s="0" t="s">
        <v>320</v>
      </c>
      <c r="C1050" s="0" t="s">
        <v>321</v>
      </c>
      <c r="D1050" s="0" t="s">
        <v>73</v>
      </c>
      <c r="E1050" s="0" t="n">
        <v>1207</v>
      </c>
    </row>
    <row r="1051" customFormat="false" ht="15" hidden="false" customHeight="false" outlineLevel="0" collapsed="false">
      <c r="A1051" s="0" t="n">
        <v>2025</v>
      </c>
      <c r="B1051" s="0" t="s">
        <v>320</v>
      </c>
      <c r="C1051" s="0" t="s">
        <v>321</v>
      </c>
      <c r="D1051" s="0" t="s">
        <v>73</v>
      </c>
      <c r="E1051" s="0" t="n">
        <v>1200</v>
      </c>
    </row>
    <row r="1052" customFormat="false" ht="15" hidden="false" customHeight="false" outlineLevel="0" collapsed="false">
      <c r="A1052" s="0" t="n">
        <v>2016</v>
      </c>
      <c r="B1052" s="0" t="s">
        <v>316</v>
      </c>
      <c r="C1052" s="0" t="s">
        <v>317</v>
      </c>
      <c r="D1052" s="0" t="s">
        <v>74</v>
      </c>
      <c r="E1052" s="0" t="n">
        <v>614</v>
      </c>
    </row>
    <row r="1053" customFormat="false" ht="15" hidden="false" customHeight="false" outlineLevel="0" collapsed="false">
      <c r="A1053" s="0" t="n">
        <v>2017</v>
      </c>
      <c r="B1053" s="0" t="s">
        <v>316</v>
      </c>
      <c r="C1053" s="0" t="s">
        <v>317</v>
      </c>
      <c r="D1053" s="0" t="s">
        <v>74</v>
      </c>
      <c r="E1053" s="0" t="n">
        <v>621</v>
      </c>
    </row>
    <row r="1054" customFormat="false" ht="15" hidden="false" customHeight="false" outlineLevel="0" collapsed="false">
      <c r="A1054" s="0" t="n">
        <v>2018</v>
      </c>
      <c r="B1054" s="0" t="s">
        <v>316</v>
      </c>
      <c r="C1054" s="0" t="s">
        <v>317</v>
      </c>
      <c r="D1054" s="0" t="s">
        <v>74</v>
      </c>
      <c r="E1054" s="0" t="n">
        <v>624</v>
      </c>
    </row>
    <row r="1055" customFormat="false" ht="15" hidden="false" customHeight="false" outlineLevel="0" collapsed="false">
      <c r="A1055" s="0" t="n">
        <v>2019</v>
      </c>
      <c r="B1055" s="0" t="s">
        <v>316</v>
      </c>
      <c r="C1055" s="0" t="s">
        <v>317</v>
      </c>
      <c r="D1055" s="0" t="s">
        <v>74</v>
      </c>
      <c r="E1055" s="0" t="n">
        <v>613</v>
      </c>
    </row>
    <row r="1056" customFormat="false" ht="15" hidden="false" customHeight="false" outlineLevel="0" collapsed="false">
      <c r="A1056" s="0" t="n">
        <v>2020</v>
      </c>
      <c r="B1056" s="0" t="s">
        <v>316</v>
      </c>
      <c r="C1056" s="0" t="s">
        <v>317</v>
      </c>
      <c r="D1056" s="0" t="s">
        <v>74</v>
      </c>
      <c r="E1056" s="0" t="n">
        <v>606</v>
      </c>
    </row>
    <row r="1057" customFormat="false" ht="15" hidden="false" customHeight="false" outlineLevel="0" collapsed="false">
      <c r="A1057" s="0" t="n">
        <v>2021</v>
      </c>
      <c r="B1057" s="0" t="s">
        <v>316</v>
      </c>
      <c r="C1057" s="0" t="s">
        <v>317</v>
      </c>
      <c r="D1057" s="0" t="s">
        <v>74</v>
      </c>
      <c r="E1057" s="0" t="n">
        <v>609</v>
      </c>
    </row>
    <row r="1058" customFormat="false" ht="15" hidden="false" customHeight="false" outlineLevel="0" collapsed="false">
      <c r="A1058" s="0" t="n">
        <v>2022</v>
      </c>
      <c r="B1058" s="0" t="s">
        <v>316</v>
      </c>
      <c r="C1058" s="0" t="s">
        <v>317</v>
      </c>
      <c r="D1058" s="0" t="s">
        <v>74</v>
      </c>
      <c r="E1058" s="0" t="n">
        <v>599</v>
      </c>
    </row>
    <row r="1059" customFormat="false" ht="15" hidden="false" customHeight="false" outlineLevel="0" collapsed="false">
      <c r="A1059" s="0" t="n">
        <v>2023</v>
      </c>
      <c r="B1059" s="0" t="s">
        <v>316</v>
      </c>
      <c r="C1059" s="0" t="s">
        <v>317</v>
      </c>
      <c r="D1059" s="0" t="s">
        <v>74</v>
      </c>
      <c r="E1059" s="0" t="n">
        <v>606</v>
      </c>
    </row>
    <row r="1060" customFormat="false" ht="15" hidden="false" customHeight="false" outlineLevel="0" collapsed="false">
      <c r="A1060" s="0" t="n">
        <v>2024</v>
      </c>
      <c r="B1060" s="0" t="s">
        <v>316</v>
      </c>
      <c r="C1060" s="0" t="s">
        <v>317</v>
      </c>
      <c r="D1060" s="0" t="s">
        <v>74</v>
      </c>
      <c r="E1060" s="0" t="n">
        <v>587</v>
      </c>
    </row>
    <row r="1061" customFormat="false" ht="15" hidden="false" customHeight="false" outlineLevel="0" collapsed="false">
      <c r="A1061" s="0" t="n">
        <v>2025</v>
      </c>
      <c r="B1061" s="0" t="s">
        <v>316</v>
      </c>
      <c r="C1061" s="0" t="s">
        <v>317</v>
      </c>
      <c r="D1061" s="0" t="s">
        <v>74</v>
      </c>
      <c r="E1061" s="0" t="n">
        <v>591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2026-10-27T08:12:24Z</dcterms:created>
  <dc:creator>openpyxl</dc:creator>
  <dc:description/>
  <dc:language>en-US</dc:language>
  <cp:lastModifiedBy/>
  <dcterms:modified xsi:type="dcterms:W3CDTF">2026-10-27T09:12:26Z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